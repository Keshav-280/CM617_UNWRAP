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1_Extracted_pairs" sheetId="1" state="visible" r:id="rId3"/>
    <sheet name="S2_Meta_analysis" sheetId="2" state="visible" r:id="rId4"/>
    <sheet name="S2b_Study_means" sheetId="3" state="visible" r:id="rId5"/>
    <sheet name="S3_Model_parameters" sheetId="4" state="visible" r:id="rId6"/>
    <sheet name="S4_Model_scenarios" sheetId="5" state="visible" r:id="rId7"/>
    <sheet name="S5_Sensitivity" sheetId="6" state="visible" r:id="rId8"/>
    <sheet name="S6_Crossover" sheetId="7" state="visible" r:id="rId9"/>
    <sheet name="S7_References" sheetId="8" state="visible" r:id="rId10"/>
    <sheet name="S8_Added_checks" sheetId="9" state="visible" r:id="rId11"/>
    <sheet name="S9_Base_case_model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<sst xmlns="http://schemas.openxmlformats.org/spreadsheetml/2006/main" count="990" uniqueCount="500">
  <si>
    <t xml:space="preserve">pair_id</t>
  </si>
  <si>
    <t xml:space="preserve">study_id</t>
  </si>
  <si>
    <t xml:space="preserve">study</t>
  </si>
  <si>
    <t xml:space="preserve">year</t>
  </si>
  <si>
    <t xml:space="preserve">region</t>
  </si>
  <si>
    <t xml:space="preserve">sector</t>
  </si>
  <si>
    <t xml:space="preserve">functional_unit</t>
  </si>
  <si>
    <t xml:space="preserve">conventional</t>
  </si>
  <si>
    <t xml:space="preserve">alternative</t>
  </si>
  <si>
    <t xml:space="preserve">gwp_conventional</t>
  </si>
  <si>
    <t xml:space="preserve">gwp_alternative</t>
  </si>
  <si>
    <t xml:space="preserve">unit</t>
  </si>
  <si>
    <t xml:space="preserve">how_value_obtained</t>
  </si>
  <si>
    <t xml:space="preserve">sponsor_type</t>
  </si>
  <si>
    <t xml:space="preserve">sponsor_favours</t>
  </si>
  <si>
    <t xml:space="preserve">in_plastic_baseline_pool</t>
  </si>
  <si>
    <t xml:space="preserve">source_url</t>
  </si>
  <si>
    <t xml:space="preserve">ratio</t>
  </si>
  <si>
    <t xml:space="preserve">ln_ratio</t>
  </si>
  <si>
    <t xml:space="preserve">alt_class</t>
  </si>
  <si>
    <t xml:space="preserve">comparability_caveat</t>
  </si>
  <si>
    <t xml:space="preserve">Note</t>
  </si>
  <si>
    <t xml:space="preserve">P01</t>
  </si>
  <si>
    <t xml:space="preserve">S1</t>
  </si>
  <si>
    <t xml:space="preserve">De Feo et al. (mineral water eco-efficiency)</t>
  </si>
  <si>
    <t xml:space="preserve">n/r</t>
  </si>
  <si>
    <t xml:space="preserve">Italy</t>
  </si>
  <si>
    <t xml:space="preserve">Bottled water</t>
  </si>
  <si>
    <t xml:space="preserve">1000 L</t>
  </si>
  <si>
    <t xml:space="preserve">PET 0.5 L</t>
  </si>
  <si>
    <t xml:space="preserve">Glass one-way 0.5 L</t>
  </si>
  <si>
    <t xml:space="preserve">kg CO2e</t>
  </si>
  <si>
    <t xml:space="preserve">Reported directly in abstract</t>
  </si>
  <si>
    <t xml:space="preserve">Academic</t>
  </si>
  <si>
    <t xml:space="preserve">none</t>
  </si>
  <si>
    <t xml:space="preserve">yes</t>
  </si>
  <si>
    <t xml:space="preserve">https://www.iris.unisa.it/handle/11386/4958656</t>
  </si>
  <si>
    <t xml:space="preserve">Glass</t>
  </si>
  <si>
    <t xml:space="preserve">Columns R and S are now live formulas: ratio = K/J (alternative / conventional); ln_ratio = LN(ratio). Edit any GWP value in J or K and everything downstream recalculates.</t>
  </si>
  <si>
    <t xml:space="preserve">P02</t>
  </si>
  <si>
    <t xml:space="preserve">Aluminium can 0.33 L</t>
  </si>
  <si>
    <t xml:space="preserve">Aluminium</t>
  </si>
  <si>
    <t xml:space="preserve">P03</t>
  </si>
  <si>
    <t xml:space="preserve">Aseptic carton 0.5 L</t>
  </si>
  <si>
    <t xml:space="preserve">Carton</t>
  </si>
  <si>
    <t xml:space="preserve">P04</t>
  </si>
  <si>
    <t xml:space="preserve">S2</t>
  </si>
  <si>
    <t xml:space="preserve">Ferrara &amp; De Feo</t>
  </si>
  <si>
    <t xml:space="preserve">2023</t>
  </si>
  <si>
    <t xml:space="preserve">Italy/EU destinations</t>
  </si>
  <si>
    <t xml:space="preserve">Olive oil</t>
  </si>
  <si>
    <t xml:space="preserve">1000 L EVOO</t>
  </si>
  <si>
    <t xml:space="preserve">100% recycled PET bottle</t>
  </si>
  <si>
    <t xml:space="preserve">Glass bottle</t>
  </si>
  <si>
    <t xml:space="preserve">Midpoint of reported ranges (PET 459-634; glass 790-1137)</t>
  </si>
  <si>
    <t xml:space="preserve">https://www.iris.unisa.it/handle/11386/4840897</t>
  </si>
  <si>
    <t xml:space="preserve">P05</t>
  </si>
  <si>
    <t xml:space="preserve">S3</t>
  </si>
  <si>
    <t xml:space="preserve">NAPCOR LCA (conducted by Franklin Associates per trade press)</t>
  </si>
  <si>
    <t xml:space="preserve">USA</t>
  </si>
  <si>
    <t xml:space="preserve">Water/CSD</t>
  </si>
  <si>
    <t xml:space="preserve">per container (16.9 oz PET vs 12 oz can)</t>
  </si>
  <si>
    <t xml:space="preserve">PET bottle 16.9 oz</t>
  </si>
  <si>
    <t xml:space="preserve">Aluminium can 12 oz</t>
  </si>
  <si>
    <t xml:space="preserve">index (Al=100)</t>
  </si>
  <si>
    <t xml:space="preserve">PET reported as 74% lower than Al can; Al set to 100</t>
  </si>
  <si>
    <t xml:space="preserve">Industry (PET trade body)</t>
  </si>
  <si>
    <t xml:space="preserve">PET</t>
  </si>
  <si>
    <t xml:space="preserve">https://napcor.com/news/pet-plastic-bottles-have-a-significantly-lower-environmental-impact-compared-to-glass-bottles-and-aluminum-cans/</t>
  </si>
  <si>
    <t xml:space="preserve">Per container (index, Al can = 100); industry (PET trade body)</t>
  </si>
  <si>
    <t xml:space="preserve">P06</t>
  </si>
  <si>
    <t xml:space="preserve">S4</t>
  </si>
  <si>
    <t xml:space="preserve">Saudi Digital Library repository study (carbonated drinks)</t>
  </si>
  <si>
    <t xml:space="preserve">Carbonated drinks</t>
  </si>
  <si>
    <t xml:space="preserve">1 L</t>
  </si>
  <si>
    <t xml:space="preserve">PET bottle</t>
  </si>
  <si>
    <t xml:space="preserve">g CO2e</t>
  </si>
  <si>
    <t xml:space="preserve">Academic thesis/report</t>
  </si>
  <si>
    <t xml:space="preserve">https://drepo.sdl.edu.sa/items/b7c25e12-7df5-4086-a117-a66badf9f3b1</t>
  </si>
  <si>
    <t xml:space="preserve">P07</t>
  </si>
  <si>
    <t xml:space="preserve">S5</t>
  </si>
  <si>
    <t xml:space="preserve">Carton-vs-bottle LCA summarised by iPoint (Combibloc carton)</t>
  </si>
  <si>
    <t xml:space="preserve">2021</t>
  </si>
  <si>
    <t xml:space="preserve">n/r (source discusses UK/US pints)</t>
  </si>
  <si>
    <t xml:space="preserve">Fresh milk</t>
  </si>
  <si>
    <t xml:space="preserve">PET bottle (disposable)</t>
  </si>
  <si>
    <t xml:space="preserve">Gable-top carton</t>
  </si>
  <si>
    <t xml:space="preserve">Carton 85 g and 45% lower than PET -&gt; PET=85/0.55</t>
  </si>
  <si>
    <t xml:space="preserve">Industry-linked (carton product LCA; funder not verified)</t>
  </si>
  <si>
    <t xml:space="preserve">carton</t>
  </si>
  <si>
    <t xml:space="preserve">https://go.ipoint-systems.com/blog/whats-the-greenest-1-l-packaging-two-powerful-lcas-give-the-answer</t>
  </si>
  <si>
    <t xml:space="preserve">Derived from % difference; funder not verified</t>
  </si>
  <si>
    <t xml:space="preserve">P08</t>
  </si>
  <si>
    <t xml:space="preserve">HDPE multilayer bottle</t>
  </si>
  <si>
    <t xml:space="preserve">Carton 85 g and 34% lower than HDPE -&gt; HDPE=85/0.66</t>
  </si>
  <si>
    <t xml:space="preserve">P09</t>
  </si>
  <si>
    <t xml:space="preserve">S6</t>
  </si>
  <si>
    <t xml:space="preserve">Gallego-Schmid et al.</t>
  </si>
  <si>
    <t xml:space="preserve">2019</t>
  </si>
  <si>
    <t xml:space="preserve">EU</t>
  </si>
  <si>
    <t xml:space="preserve">Takeaway food container</t>
  </si>
  <si>
    <t xml:space="preserve">per container</t>
  </si>
  <si>
    <t xml:space="preserve">PP single-use</t>
  </si>
  <si>
    <t xml:space="preserve">Aluminium single-use</t>
  </si>
  <si>
    <t xml:space="preserve">index (EPS=1)</t>
  </si>
  <si>
    <t xml:space="preserve">EPS = 50% of Al and one-third of PP -&gt; EPS=1 Al=2 PP=3</t>
  </si>
  <si>
    <t xml:space="preserve">https://www.manchester.ac.uk/discover/news/takeaway-containers--the-environmental-cost-of-packing-our-favourite-fast-foods</t>
  </si>
  <si>
    <t xml:space="preserve">Index (EPS = 1) derived from stated percentages; per container</t>
  </si>
  <si>
    <t xml:space="preserve">P10</t>
  </si>
  <si>
    <t xml:space="preserve">S7</t>
  </si>
  <si>
    <t xml:space="preserve">TERI for Ball Corporation</t>
  </si>
  <si>
    <t xml:space="preserve">2022</t>
  </si>
  <si>
    <t xml:space="preserve">India</t>
  </si>
  <si>
    <t xml:space="preserve">Beer</t>
  </si>
  <si>
    <t xml:space="preserve">1 L fill</t>
  </si>
  <si>
    <t xml:space="preserve">Glass bottle 650 mL</t>
  </si>
  <si>
    <t xml:space="preserve">Aluminium can 500 mL</t>
  </si>
  <si>
    <t xml:space="preserve">index (can=1)</t>
  </si>
  <si>
    <t xml:space="preserve">Text states glass GWP is 3.5x the can (Fig 16 = 352%)</t>
  </si>
  <si>
    <t xml:space="preserve">Industry (aluminium can maker)</t>
  </si>
  <si>
    <t xml:space="preserve">aluminium</t>
  </si>
  <si>
    <t xml:space="preserve">no (not plastic baseline)</t>
  </si>
  <si>
    <t xml:space="preserve">https://www.teriin.org/sites/default/files/2022-06/Sustainable-Beverage-Packaging-Final-Report.pdf</t>
  </si>
  <si>
    <t xml:space="preserve">Al vs glass (India)</t>
  </si>
  <si>
    <t xml:space="preserve">Industry (can maker); not pooled</t>
  </si>
  <si>
    <t xml:space="preserve">P11</t>
  </si>
  <si>
    <t xml:space="preserve">Beverages</t>
  </si>
  <si>
    <t xml:space="preserve">Glass bottle 200 mL</t>
  </si>
  <si>
    <t xml:space="preserve">Text: 200 mL glass is 526% of the 500 mL can (Fig 9)</t>
  </si>
  <si>
    <t xml:space="preserve">P12</t>
  </si>
  <si>
    <t xml:space="preserve">S8</t>
  </si>
  <si>
    <t xml:space="preserve">Stefanini et al. (milk bottles)</t>
  </si>
  <si>
    <t xml:space="preserve">Milk</t>
  </si>
  <si>
    <t xml:space="preserve">Glass non-returnable</t>
  </si>
  <si>
    <t xml:space="preserve">Total GWP from Tables 8 and 10</t>
  </si>
  <si>
    <t xml:space="preserve">https://doi.org/10.1007/s11367-020-01804-x</t>
  </si>
  <si>
    <t xml:space="preserve">P13</t>
  </si>
  <si>
    <t xml:space="preserve">Returnable glass (8 uses)</t>
  </si>
  <si>
    <t xml:space="preserve">Fig. 9 (8 uses = 2.08E-01)</t>
  </si>
  <si>
    <t xml:space="preserve">Reusable glass</t>
  </si>
  <si>
    <t xml:space="preserve">P14</t>
  </si>
  <si>
    <t xml:space="preserve">Returnable glass (30 uses)</t>
  </si>
  <si>
    <t xml:space="preserve">Fig. 9 (30 uses = 1.85E-01)</t>
  </si>
  <si>
    <t xml:space="preserve">P15</t>
  </si>
  <si>
    <t xml:space="preserve">PET bottle (virgin)</t>
  </si>
  <si>
    <t xml:space="preserve">R-PET bottle (50% recycled)</t>
  </si>
  <si>
    <t xml:space="preserve">Tables 8 and 9</t>
  </si>
  <si>
    <t xml:space="preserve">Recycled PET</t>
  </si>
  <si>
    <t xml:space="preserve">P16</t>
  </si>
  <si>
    <t xml:space="preserve">S9</t>
  </si>
  <si>
    <t xml:space="preserve">Pasqualino et al. (as tabulated in Stefanini 2021 Table 1)</t>
  </si>
  <si>
    <t xml:space="preserve">2011</t>
  </si>
  <si>
    <t xml:space="preserve">Spain</t>
  </si>
  <si>
    <t xml:space="preserve">PET 1.5 L water</t>
  </si>
  <si>
    <t xml:space="preserve">Aseptic carton 1 L juice</t>
  </si>
  <si>
    <t xml:space="preserve">kg CO2e/L</t>
  </si>
  <si>
    <t xml:space="preserve">Secondary citation in open-access Table 1 (different beverages)</t>
  </si>
  <si>
    <t xml:space="preserve">Compares different beverages (PET water vs carton juice); second-hand</t>
  </si>
  <si>
    <t xml:space="preserve">P17</t>
  </si>
  <si>
    <t xml:space="preserve">Aluminium can 0.33 L beer</t>
  </si>
  <si>
    <t xml:space="preserve">Compares different beverages (PET water vs beer can); second-hand</t>
  </si>
  <si>
    <t xml:space="preserve">P18</t>
  </si>
  <si>
    <t xml:space="preserve">S10</t>
  </si>
  <si>
    <t xml:space="preserve">Amienyo et al. (carbonated soft drinks; as tabulated in Stefanini 2021)</t>
  </si>
  <si>
    <t xml:space="preserve">2013</t>
  </si>
  <si>
    <t xml:space="preserve">UK</t>
  </si>
  <si>
    <t xml:space="preserve">Glass 0.75 L</t>
  </si>
  <si>
    <t xml:space="preserve">Secondary citation in open-access Table 1</t>
  </si>
  <si>
    <t xml:space="preserve">Second-hand (Stefanini Table 1)</t>
  </si>
  <si>
    <t xml:space="preserve">P19</t>
  </si>
  <si>
    <t xml:space="preserve">Second-hand</t>
  </si>
  <si>
    <t xml:space="preserve">P20</t>
  </si>
  <si>
    <t xml:space="preserve">PET 2 L</t>
  </si>
  <si>
    <t xml:space="preserve">P21</t>
  </si>
  <si>
    <t xml:space="preserve">P22</t>
  </si>
  <si>
    <t xml:space="preserve">S11</t>
  </si>
  <si>
    <t xml:space="preserve">Saleh (Palestine; as tabulated in Stefanini 2021)</t>
  </si>
  <si>
    <t xml:space="preserve">2015</t>
  </si>
  <si>
    <t xml:space="preserve">Palestine</t>
  </si>
  <si>
    <t xml:space="preserve">1000 L (units as tabulated)</t>
  </si>
  <si>
    <t xml:space="preserve">Glass 0.33 L</t>
  </si>
  <si>
    <t xml:space="preserve">as tabulated (kg CO2e per FU)</t>
  </si>
  <si>
    <t xml:space="preserve">Secondary citation in open-access Table 1; extreme ratio - flagged as possible unit issue</t>
  </si>
  <si>
    <t xml:space="preserve">Extreme ratio - possible unit issue; second-hand</t>
  </si>
  <si>
    <t xml:space="preserve">P23</t>
  </si>
  <si>
    <t xml:space="preserve">P24</t>
  </si>
  <si>
    <t xml:space="preserve">S12</t>
  </si>
  <si>
    <t xml:space="preserve">Mata &amp; Costa (beer bottles; as tabulated in Stefanini 2021)</t>
  </si>
  <si>
    <t xml:space="preserve">2001</t>
  </si>
  <si>
    <t xml:space="preserve">Portugal</t>
  </si>
  <si>
    <t xml:space="preserve">0.33 L bottle</t>
  </si>
  <si>
    <t xml:space="preserve">Glass non-returnable (cycle 1)</t>
  </si>
  <si>
    <t xml:space="preserve">Glass returnable (cycle 1)</t>
  </si>
  <si>
    <t xml:space="preserve">no (glass reuse vs single-use)</t>
  </si>
  <si>
    <t xml:space="preserve">Reuse vs single-use glass</t>
  </si>
  <si>
    <t xml:space="preserve">Second-hand; not pooled</t>
  </si>
  <si>
    <t xml:space="preserve">P25</t>
  </si>
  <si>
    <t xml:space="preserve">Glass non-returnable (cycle 6)</t>
  </si>
  <si>
    <t xml:space="preserve">Glass returnable (cycle 6)</t>
  </si>
  <si>
    <t xml:space="preserve">P26</t>
  </si>
  <si>
    <t xml:space="preserve">S13</t>
  </si>
  <si>
    <t xml:space="preserve">Ferrara et al. (mineral water)</t>
  </si>
  <si>
    <t xml:space="preserve">Natural water</t>
  </si>
  <si>
    <t xml:space="preserve">PET 1 L</t>
  </si>
  <si>
    <t xml:space="preserve">Reusable glass (7 uses)</t>
  </si>
  <si>
    <t xml:space="preserve">Sum of stage values in Fig. 4a</t>
  </si>
  <si>
    <t xml:space="preserve">https://doi.org/10.3390/recycling6030050</t>
  </si>
  <si>
    <t xml:space="preserve">P27</t>
  </si>
  <si>
    <t xml:space="preserve">Sparkling water</t>
  </si>
  <si>
    <t xml:space="preserve">group</t>
  </si>
  <si>
    <t xml:space="preserve">k_studies</t>
  </si>
  <si>
    <t xml:space="preserve">n_pairs</t>
  </si>
  <si>
    <t xml:space="preserve">mean_ln</t>
  </si>
  <si>
    <t xml:space="preserve">ci_low</t>
  </si>
  <si>
    <t xml:space="preserve">ci_high</t>
  </si>
  <si>
    <t xml:space="preserve">pct_pairs_alt_better</t>
  </si>
  <si>
    <t xml:space="preserve">between_study_SD_ln</t>
  </si>
  <si>
    <t xml:space="preserve">All plastic-baseline pairs</t>
  </si>
  <si>
    <t xml:space="preserve">Glass vs plastic</t>
  </si>
  <si>
    <t xml:space="preserve">Reusable glass vs plastic</t>
  </si>
  <si>
    <t xml:space="preserve">Aluminium vs plastic</t>
  </si>
  <si>
    <t xml:space="preserve">Carton vs plastic</t>
  </si>
  <si>
    <t xml:space="preserve">Academic-funded only</t>
  </si>
  <si>
    <t xml:space="preserve">All excl. Saleh (extreme ratios)</t>
  </si>
  <si>
    <t xml:space="preserve">Industry-linked only</t>
  </si>
  <si>
    <t xml:space="preserve">LIVE FORMULA VERSION (recalculates from sheet 1). Bootstrap intervals in the table above come from analysis.py and cannot be written as worksheet formulas; the t-intervals below are the formula equivalent.</t>
  </si>
  <si>
    <t xml:space="preserve">t_ci_low</t>
  </si>
  <si>
    <t xml:space="preserve">t_ci_high</t>
  </si>
  <si>
    <t xml:space="preserve">study_mean_ln_ratio</t>
  </si>
  <si>
    <t xml:space="preserve">n_pairs_alt_better</t>
  </si>
  <si>
    <t xml:space="preserve">parameter</t>
  </si>
  <si>
    <t xml:space="preserve">symbol</t>
  </si>
  <si>
    <t xml:space="preserve">low</t>
  </si>
  <si>
    <t xml:space="preserve">base</t>
  </si>
  <si>
    <t xml:space="preserve">high</t>
  </si>
  <si>
    <t xml:space="preserve">status</t>
  </si>
  <si>
    <t xml:space="preserve">source</t>
  </si>
  <si>
    <t xml:space="preserve">Primary aluminium cradle-to-gate</t>
  </si>
  <si>
    <t xml:space="preserve">V_Al</t>
  </si>
  <si>
    <t xml:space="preserve">kg CO2e/kg</t>
  </si>
  <si>
    <t xml:space="preserve">sourced</t>
  </si>
  <si>
    <t xml:space="preserve">IAI 2022 global 15.1; India ~19.6 (LSE Grantham Institute)</t>
  </si>
  <si>
    <t xml:space="preserve">Recycled aluminium (gate-to-gate)</t>
  </si>
  <si>
    <t xml:space="preserve">S_Al</t>
  </si>
  <si>
    <t xml:space="preserve">sourced (low); high assumed</t>
  </si>
  <si>
    <t xml:space="preserve">IAI factsheet 0.52</t>
  </si>
  <si>
    <t xml:space="preserve">Aluminium recycling yield</t>
  </si>
  <si>
    <t xml:space="preserve">y_Al</t>
  </si>
  <si>
    <t xml:space="preserve">fraction</t>
  </si>
  <si>
    <t xml:space="preserve">TERI 2022 Table 15 (98%)</t>
  </si>
  <si>
    <t xml:space="preserve">Aluminium can-making overhead</t>
  </si>
  <si>
    <t xml:space="preserve">conv_Al</t>
  </si>
  <si>
    <t xml:space="preserve">assumed</t>
  </si>
  <si>
    <t xml:space="preserve">No source found - sensitivity range</t>
  </si>
  <si>
    <t xml:space="preserve">Virgin container glass</t>
  </si>
  <si>
    <t xml:space="preserve">V_G</t>
  </si>
  <si>
    <t xml:space="preserve">derived/assumed</t>
  </si>
  <si>
    <t xml:space="preserve">Derived from FEVE: 1 t cullet saves ~0.58-0.67 t CO2 vs ~58% saving at 100% cullet -&gt; ~1.0; India upper bound assumed</t>
  </si>
  <si>
    <t xml:space="preserve">Glass credit per kg recycled (cullet)</t>
  </si>
  <si>
    <t xml:space="preserve">dV_G</t>
  </si>
  <si>
    <t xml:space="preserve">FEVE brochure / FEVE 2026 (580-670 kg per t)</t>
  </si>
  <si>
    <t xml:space="preserve">Glass recycling yield</t>
  </si>
  <si>
    <t xml:space="preserve">y_G</t>
  </si>
  <si>
    <t xml:space="preserve">TERI 2022 Table 15</t>
  </si>
  <si>
    <t xml:space="preserve">Virgin PET resin</t>
  </si>
  <si>
    <t xml:space="preserve">V_PET</t>
  </si>
  <si>
    <t xml:space="preserve">sourced (high); low assumed</t>
  </si>
  <si>
    <t xml:space="preserve">Hopewell et al. 2009 Table 3 (3.4); low bound modern-resin assumption</t>
  </si>
  <si>
    <t xml:space="preserve">Recycled PET flake</t>
  </si>
  <si>
    <t xml:space="preserve">S_PET</t>
  </si>
  <si>
    <t xml:space="preserve">sourced (base)</t>
  </si>
  <si>
    <t xml:space="preserve">Hopewell et al. 2009 (typical recycled plastic 1.4)</t>
  </si>
  <si>
    <t xml:space="preserve">PET recycling yield</t>
  </si>
  <si>
    <t xml:space="preserve">y_PET</t>
  </si>
  <si>
    <t xml:space="preserve">PET credit quality (open-loop/fibre)</t>
  </si>
  <si>
    <t xml:space="preserve">q_PET</t>
  </si>
  <si>
    <t xml:space="preserve">Food-grade rPET barred in India at TERI study time (FSSAI)</t>
  </si>
  <si>
    <t xml:space="preserve">PET conversion (preform + blow moulding)</t>
  </si>
  <si>
    <t xml:space="preserve">conv_PET</t>
  </si>
  <si>
    <t xml:space="preserve">Fossil CO2 from burning PET</t>
  </si>
  <si>
    <t xml:space="preserve">burn_PET</t>
  </si>
  <si>
    <t xml:space="preserve">kg CO2/kg</t>
  </si>
  <si>
    <t xml:space="preserve">derived</t>
  </si>
  <si>
    <t xml:space="preserve">PET 62.5% carbon x 44/12</t>
  </si>
  <si>
    <t xml:space="preserve">Share of UNCOLLECTED PET open-burned (India)</t>
  </si>
  <si>
    <t xml:space="preserve">b_IN</t>
  </si>
  <si>
    <t xml:space="preserve">Cottom et al. 2024 shows open burning is prolific in India; share not given</t>
  </si>
  <si>
    <t xml:space="preserve">Share of uncollected PET burned (EU)</t>
  </si>
  <si>
    <t xml:space="preserve">b_EU</t>
  </si>
  <si>
    <t xml:space="preserve">Controlled disposal</t>
  </si>
  <si>
    <t xml:space="preserve">Truck transport EF</t>
  </si>
  <si>
    <t xml:space="preserve">EF_t</t>
  </si>
  <si>
    <t xml:space="preserve">kg CO2e/t-km</t>
  </si>
  <si>
    <t xml:space="preserve">Distances Al/PET/glass</t>
  </si>
  <si>
    <t xml:space="preserve">D</t>
  </si>
  <si>
    <t xml:space="preserve">1000/500/500</t>
  </si>
  <si>
    <t xml:space="preserve">km</t>
  </si>
  <si>
    <t xml:space="preserve">TERI 2022 Table 6</t>
  </si>
  <si>
    <t xml:space="preserve">Mass per litre Al can 500 mL</t>
  </si>
  <si>
    <t xml:space="preserve">m_Al</t>
  </si>
  <si>
    <t xml:space="preserve">g/L</t>
  </si>
  <si>
    <t xml:space="preserve">TERI 2022 Table 8 (2 x (12.42+2.5) g)</t>
  </si>
  <si>
    <t xml:space="preserve">Mass per litre PET 600 mL</t>
  </si>
  <si>
    <t xml:space="preserve">m_PET</t>
  </si>
  <si>
    <t xml:space="preserve">TERI 2022 Table 8 (1.667 x (22.2+1.6) g)</t>
  </si>
  <si>
    <t xml:space="preserve">Mass per litre glass 650 mL</t>
  </si>
  <si>
    <t xml:space="preserve">m_G</t>
  </si>
  <si>
    <t xml:space="preserve">TERI 2022 Table 8 (1.538 x (510+2.22) g)</t>
  </si>
  <si>
    <t xml:space="preserve">Collection EU PET</t>
  </si>
  <si>
    <t xml:space="preserve">c_PET_EU</t>
  </si>
  <si>
    <t xml:space="preserve">NCL/PACE 2017 report (Europe 48.3%)</t>
  </si>
  <si>
    <t xml:space="preserve">Collection EU glass</t>
  </si>
  <si>
    <t xml:space="preserve">c_G_EU</t>
  </si>
  <si>
    <t xml:space="preserve">FEVE 2026 (80.1%)</t>
  </si>
  <si>
    <t xml:space="preserve">Collection EU/global Al</t>
  </si>
  <si>
    <t xml:space="preserve">c_Al_EU</t>
  </si>
  <si>
    <t xml:space="preserve">sourced (global)</t>
  </si>
  <si>
    <t xml:space="preserve">IAI 2019 global can recycling 71%</t>
  </si>
  <si>
    <t xml:space="preserve">Collection India Al/PET/glass</t>
  </si>
  <si>
    <t xml:space="preserve">c_IN</t>
  </si>
  <si>
    <t xml:space="preserve">0.85/0.70/0.60</t>
  </si>
  <si>
    <t xml:space="preserve">Collection India PET alt (NCL)</t>
  </si>
  <si>
    <t xml:space="preserve">c_PET_IN_hi</t>
  </si>
  <si>
    <t xml:space="preserve">CSIR-NCL/PACE 2017 (~90% incl. informal+home reuse)</t>
  </si>
  <si>
    <t xml:space="preserve">scenario</t>
  </si>
  <si>
    <t xml:space="preserve">Al_med</t>
  </si>
  <si>
    <t xml:space="preserve">Al_p5</t>
  </si>
  <si>
    <t xml:space="preserve">Al_p95</t>
  </si>
  <si>
    <t xml:space="preserve">PET_med</t>
  </si>
  <si>
    <t xml:space="preserve">PET_p5</t>
  </si>
  <si>
    <t xml:space="preserve">PET_p95</t>
  </si>
  <si>
    <t xml:space="preserve">Glass_med</t>
  </si>
  <si>
    <t xml:space="preserve">Glass_p5</t>
  </si>
  <si>
    <t xml:space="preserve">Glass_p95</t>
  </si>
  <si>
    <t xml:space="preserve">AlPET_ratio_med</t>
  </si>
  <si>
    <t xml:space="preserve">AlPET_p5</t>
  </si>
  <si>
    <t xml:space="preserve">AlPET_p95</t>
  </si>
  <si>
    <t xml:space="preserve">GlassPET_ratio_med</t>
  </si>
  <si>
    <t xml:space="preserve">GlassPET_p5</t>
  </si>
  <si>
    <t xml:space="preserve">GlassPET_p95</t>
  </si>
  <si>
    <t xml:space="preserve">P_Al_beats_PET</t>
  </si>
  <si>
    <t xml:space="preserve">P_Glass_beats_PET</t>
  </si>
  <si>
    <t xml:space="preserve">Europe-default rates</t>
  </si>
  <si>
    <t xml:space="preserve">India (TERI 2022 rates)</t>
  </si>
  <si>
    <t xml:space="preserve">India (PET 90%, NCL)</t>
  </si>
  <si>
    <t xml:space="preserve">spearman_rho_with_Al_over_PET</t>
  </si>
  <si>
    <t xml:space="preserve">EF</t>
  </si>
  <si>
    <t xml:space="preserve">case</t>
  </si>
  <si>
    <t xml:space="preserve">median_all</t>
  </si>
  <si>
    <t xml:space="preserve">p5</t>
  </si>
  <si>
    <t xml:space="preserve">p95</t>
  </si>
  <si>
    <t xml:space="preserve">share_never</t>
  </si>
  <si>
    <t xml:space="preserve">share_always</t>
  </si>
  <si>
    <t xml:space="preserve">median_inside</t>
  </si>
  <si>
    <t xml:space="preserve">cstar_med</t>
  </si>
  <si>
    <t xml:space="preserve">cstar_p5</t>
  </si>
  <si>
    <t xml:space="preserve">cstar_p95</t>
  </si>
  <si>
    <t xml:space="preserve">Crossover, PET 70%</t>
  </si>
  <si>
    <t xml:space="preserve">Crossover, PET 90%</t>
  </si>
  <si>
    <t xml:space="preserve">Al-favourable corner</t>
  </si>
  <si>
    <t xml:space="preserve">ref_no</t>
  </si>
  <si>
    <t xml:space="preserve">author / organisation</t>
  </si>
  <si>
    <t xml:space="preserve">title / venue</t>
  </si>
  <si>
    <t xml:space="preserve">link / doi</t>
  </si>
  <si>
    <t xml:space="preserve">what it was used for</t>
  </si>
  <si>
    <t xml:space="preserve">where used in report</t>
  </si>
  <si>
    <t xml:space="preserve">[1]</t>
  </si>
  <si>
    <t xml:space="preserve">Dolci et al. (2025)</t>
  </si>
  <si>
    <t xml:space="preserve">Waste Management &amp; Research 43(3):339-357</t>
  </si>
  <si>
    <t xml:space="preserve">doi:10.1177/0734242X241241606</t>
  </si>
  <si>
    <t xml:space="preserve">Review of 53 packaging LCAs: plastics often not the worst option; EoL assumptions drive results; single-use PET beats refillable glass below ~10 reuses</t>
  </si>
  <si>
    <t xml:space="preserve">Introduction, Discussion, Next steps</t>
  </si>
  <si>
    <t xml:space="preserve">[2]</t>
  </si>
  <si>
    <t xml:space="preserve">TERI (2022), for Ball Corporation</t>
  </si>
  <si>
    <t xml:space="preserve">Sustainable Beverage Packaging Options in India: A Comparative LCA</t>
  </si>
  <si>
    <t xml:space="preserve">Indian collection-for-recycling rates (Al 85%, PET 70%, glass 60%, carton 54%); masses (Table 8), distances (Table 6), yields (Table 15); pairs P10-P11</t>
  </si>
  <si>
    <t xml:space="preserve">Stage 1 (P10, P11), Stage 2 inputs, Discussion</t>
  </si>
  <si>
    <t xml:space="preserve">[3]</t>
  </si>
  <si>
    <t xml:space="preserve">De Feo, Marmora et al.</t>
  </si>
  <si>
    <t xml:space="preserve">Eco-efficiency of bottled water packaging</t>
  </si>
  <si>
    <t xml:space="preserve">Italian mineral-water LCA: PET 198, glass 933, can 513, carton 170 kg CO2e per 1000 L; pairs P01-P03; EU validation anchor</t>
  </si>
  <si>
    <t xml:space="preserve">Stage 1 (S1), Stage 2 validation</t>
  </si>
  <si>
    <t xml:space="preserve">[4]</t>
  </si>
  <si>
    <t xml:space="preserve">Ferrara &amp; De Feo (2023)</t>
  </si>
  <si>
    <t xml:space="preserve">Sustainability 15(4):3665</t>
  </si>
  <si>
    <t xml:space="preserve">doi:10.3390/su15043665; https://www.iris.unisa.it/handle/11386/4840897</t>
  </si>
  <si>
    <t xml:space="preserve">Olive-oil packaging LCA (r-PET vs glass); pair P04</t>
  </si>
  <si>
    <t xml:space="preserve">Stage 1 (S2)</t>
  </si>
  <si>
    <t xml:space="preserve">[5]</t>
  </si>
  <si>
    <t xml:space="preserve">NAPCOR (2023)</t>
  </si>
  <si>
    <t xml:space="preserve">PET vs glass and aluminium LCA, press release (study by Franklin Associates per trade press)</t>
  </si>
  <si>
    <t xml:space="preserve">PET 74% lower than aluminium can; industry (PET trade body); pair P05</t>
  </si>
  <si>
    <t xml:space="preserve">Stage 1 (S3)</t>
  </si>
  <si>
    <t xml:space="preserve">[6]</t>
  </si>
  <si>
    <t xml:space="preserve">Saudi Digital Library repository</t>
  </si>
  <si>
    <t xml:space="preserve">Right materials for packaging carbonated drinks</t>
  </si>
  <si>
    <t xml:space="preserve">PET 81.52 g vs glass 425.43 g CO2e per litre; pair P06</t>
  </si>
  <si>
    <t xml:space="preserve">Stage 1 (S4)</t>
  </si>
  <si>
    <t xml:space="preserve">[7]</t>
  </si>
  <si>
    <t xml:space="preserve">iPoint Systems</t>
  </si>
  <si>
    <t xml:space="preserve">What's the greenest 1 L packaging? (carton vs PET/HDPE LCA)</t>
  </si>
  <si>
    <t xml:space="preserve">Carton 85 g CO2e per litre, 45% below PET and 34% below HDPE; funder not verified; pairs P07-P08</t>
  </si>
  <si>
    <t xml:space="preserve">Stage 1 (S5)</t>
  </si>
  <si>
    <t xml:space="preserve">[8]</t>
  </si>
  <si>
    <t xml:space="preserve">Gallego-Schmid et al. (2019)</t>
  </si>
  <si>
    <t xml:space="preserve">J. Cleaner Production 211:417-427 (via University of Manchester news release)</t>
  </si>
  <si>
    <t xml:space="preserve">Takeaway containers: EPS = 50% of aluminium and one-third of PP; pair P09</t>
  </si>
  <si>
    <t xml:space="preserve">Stage 1 (S6)</t>
  </si>
  <si>
    <t xml:space="preserve">[9]</t>
  </si>
  <si>
    <t xml:space="preserve">International Aluminium Institute</t>
  </si>
  <si>
    <t xml:space="preserve">Aluminium facts / recycling factsheet</t>
  </si>
  <si>
    <t xml:space="preserve">international-aluminium.org</t>
  </si>
  <si>
    <t xml:space="preserve">Primary aluminium 15.1 t CO2e/t; recycled 0.52 t/t; global can recycling 71%</t>
  </si>
  <si>
    <t xml:space="preserve">Stage 2 inputs</t>
  </si>
  <si>
    <t xml:space="preserve">[10]</t>
  </si>
  <si>
    <t xml:space="preserve">LSE Grantham Institute</t>
  </si>
  <si>
    <t xml:space="preserve">Decarbonising the aluminium sector in India</t>
  </si>
  <si>
    <t xml:space="preserve">lse.ac.uk</t>
  </si>
  <si>
    <t xml:space="preserve">Indian primary aluminium about 19.6 t CO2e/t</t>
  </si>
  <si>
    <t xml:space="preserve">[11]</t>
  </si>
  <si>
    <t xml:space="preserve">FEVE (European Container Glass Federation)</t>
  </si>
  <si>
    <t xml:space="preserve">Recycling brochure and 2026 data</t>
  </si>
  <si>
    <t xml:space="preserve">feve.org</t>
  </si>
  <si>
    <t xml:space="preserve">Glass collection 80.1%; 1 t cullet saves 0.58-0.67 t CO2</t>
  </si>
  <si>
    <t xml:space="preserve">[12]</t>
  </si>
  <si>
    <t xml:space="preserve">Hopewell et al. (2009)</t>
  </si>
  <si>
    <t xml:space="preserve">Phil. Trans. R. Soc. B 364:2115-2126, Table 3</t>
  </si>
  <si>
    <t xml:space="preserve">doi:10.1098/rstb.2008.0311 (DOI added by assistant; please verify)</t>
  </si>
  <si>
    <t xml:space="preserve">Virgin PET up to 3.4 kg CO2e/kg; recycled plastic about 1.4</t>
  </si>
  <si>
    <t xml:space="preserve">[13]</t>
  </si>
  <si>
    <t xml:space="preserve">Cottom, Cook &amp; Velis (2024)</t>
  </si>
  <si>
    <t xml:space="preserve">Nature, macroplastic emissions inventory (via University of Leeds news)</t>
  </si>
  <si>
    <t xml:space="preserve">leeds.ac.uk</t>
  </si>
  <si>
    <t xml:space="preserve">India: about 81% of waste collected; open burning is common</t>
  </si>
  <si>
    <t xml:space="preserve">Introduction, Stage 2 (b_IN)</t>
  </si>
  <si>
    <t xml:space="preserve">[14]</t>
  </si>
  <si>
    <t xml:space="preserve">CSIR-NCL / PACE (2017)</t>
  </si>
  <si>
    <t xml:space="preserve">PET recycling study (via plastemart.com)</t>
  </si>
  <si>
    <t xml:space="preserve">plastemart.com</t>
  </si>
  <si>
    <t xml:space="preserve">India PET collection about 90% incl. informal and home reuse; Europe 48.3%</t>
  </si>
  <si>
    <t xml:space="preserve">Stage 2 scenarios</t>
  </si>
  <si>
    <t xml:space="preserve">[15]</t>
  </si>
  <si>
    <t xml:space="preserve">Stefanini et al. (2021)</t>
  </si>
  <si>
    <t xml:space="preserve">Int. J. Life Cycle Assessment 26:767-784 (Table 1 cites Pasqualino 2011, Amienyo 2013, Saleh 2015, Mata &amp; Costa 2001)</t>
  </si>
  <si>
    <t xml:space="preserve">Milk-bottle LCA (P12-P15) and open-access literature table used for 10 second-hand values (P16-P25)</t>
  </si>
  <si>
    <t xml:space="preserve">Stage 1 (S8-S12)</t>
  </si>
  <si>
    <t xml:space="preserve">[16]</t>
  </si>
  <si>
    <t xml:space="preserve">Ferrara, De Feo &amp; Picone (2021)</t>
  </si>
  <si>
    <t xml:space="preserve">Recycling 6:50</t>
  </si>
  <si>
    <t xml:space="preserve">Mineral-water packaging incl. reusable glass at 7 uses; pairs P26-P27</t>
  </si>
  <si>
    <t xml:space="preserve">Stage 1 (S13)</t>
  </si>
  <si>
    <t xml:space="preserve">Reference list as compiled by the team; the report cites these as short author-year tags. Items without a full URL (e.g. [9]-[14]) were cited from secondary pages; confirm before external use.</t>
  </si>
  <si>
    <t xml:space="preserve">boot_low</t>
  </si>
  <si>
    <t xml:space="preserve">boot_high</t>
  </si>
  <si>
    <t xml:space="preserve">t_low</t>
  </si>
  <si>
    <t xml:space="preserve">t_high</t>
  </si>
  <si>
    <t xml:space="preserve">tau_ln</t>
  </si>
  <si>
    <t xml:space="preserve">pred_low</t>
  </si>
  <si>
    <t xml:space="preserve">pred_high</t>
  </si>
  <si>
    <t xml:space="preserve">Excl. Saleh (S11, extreme)</t>
  </si>
  <si>
    <t xml:space="preserve">Excl. Pasqualino (S9, different beverages)</t>
  </si>
  <si>
    <t xml:space="preserve">Excl. S9 and S11</t>
  </si>
  <si>
    <t xml:space="preserve">Excl. second-hand values (S9-S12 via Stefanini Table 1)</t>
  </si>
  <si>
    <t xml:space="preserve">Added in analysis v2. Equal-weight random-effects-style summary: study-level mean of ln ratio, t-interval, between-study SD (tau_ln) and 95% prediction interval.</t>
  </si>
  <si>
    <t xml:space="preserve">Within-study variances are not available from abstracts, so studies are weighted equally.</t>
  </si>
  <si>
    <t xml:space="preserve">Corrections to rounding in the earlier draft: P(Al lower than PET) at Indian TERI rates is 12.4% (12%, not 13%); in the aluminium-favourable corner it is 89.0% (89%, not 88%).</t>
  </si>
  <si>
    <t xml:space="preserve">Robustness: the pooled ratio falls from 2.2 to 1.6 (and its interval reaches 1) once the second-hand / different-beverage / extreme values (S9-S12) are removed.</t>
  </si>
  <si>
    <t xml:space="preserve">Workbook changes in this version: sheet 1 ratio and ln_ratio are formulas, plus a comparability_caveat column; sheet 2 has a live formula block (using helper sheet 2b); sheet 3 low values stored as numbers; sheet 5 header named; sheet 9 is a live base-case model.</t>
  </si>
  <si>
    <t xml:space="preserve">Sheets 4, 5 and 6 are Monte Carlo output from analysis.py and are static values by nature.</t>
  </si>
  <si>
    <t xml:space="preserve">Deterministic base-case version of the Stage 2 model (live formulas), using the BASE (most likely) value of every input in sheet S3. Results sit below the Monte Carlo medians in S4 (e.g. India Al/PET 0.93 here vs 1.15 in S4) because several ranges are right-skewed (e.g. primary aluminium 15.1-19.6): at the modal values aluminium is marginally ahead of PET, over the full ranges it is marginally behind. Either way it is close to parity.</t>
  </si>
  <si>
    <t xml:space="preserve">Inputs</t>
  </si>
  <si>
    <t xml:space="preserve">value</t>
  </si>
  <si>
    <t xml:space="preserve">unit / note</t>
  </si>
  <si>
    <t xml:space="preserve">kg CO2e/kg (linked to sheet 3)</t>
  </si>
  <si>
    <t xml:space="preserve">fraction (linked to sheet 3)</t>
  </si>
  <si>
    <t xml:space="preserve">kg CO2e/kg (assumed) (linked to sheet 3)</t>
  </si>
  <si>
    <t xml:space="preserve">fraction (assumed) (linked to sheet 3)</t>
  </si>
  <si>
    <t xml:space="preserve">kg CO2/kg (linked to sheet 3)</t>
  </si>
  <si>
    <t xml:space="preserve">share of uncollected PET burned, India (linked to sheet 3)</t>
  </si>
  <si>
    <t xml:space="preserve">share burned, Europe (linked to sheet 3)</t>
  </si>
  <si>
    <t xml:space="preserve">kg CO2e per tonne-km (assumed) (linked to sheet 3)</t>
  </si>
  <si>
    <t xml:space="preserve">g per litre (linked to sheet 3)</t>
  </si>
  <si>
    <t xml:space="preserve">D_Al_km</t>
  </si>
  <si>
    <t xml:space="preserve">km, TERI 2022 Table 6</t>
  </si>
  <si>
    <t xml:space="preserve">D_PET_km</t>
  </si>
  <si>
    <t xml:space="preserve">D_G_km</t>
  </si>
  <si>
    <t xml:space="preserve">Scenarios (edit the blue collection rates to test any value)</t>
  </si>
  <si>
    <t xml:space="preserve">Al collection</t>
  </si>
  <si>
    <t xml:space="preserve">glass collection</t>
  </si>
  <si>
    <t xml:space="preserve">PET collection</t>
  </si>
  <si>
    <t xml:space="preserve">PET burned share b</t>
  </si>
  <si>
    <t xml:space="preserve">GWP Al can (kg CO2e/L)</t>
  </si>
  <si>
    <t xml:space="preserve">GWP PET (kg CO2e/L)</t>
  </si>
  <si>
    <t xml:space="preserve">GWP glass (kg CO2e/L)</t>
  </si>
  <si>
    <t xml:space="preserve">Al / PET</t>
  </si>
  <si>
    <t xml:space="preserve">Glass / PET</t>
  </si>
  <si>
    <t xml:space="preserve">Al-PET parity: Al collection c*</t>
  </si>
  <si>
    <t xml:space="preserve">India, TERI rates</t>
  </si>
  <si>
    <t xml:space="preserve">India, PET collected at 90%</t>
  </si>
  <si>
    <t xml:space="preserve">Formulas: Al = m(V+conv) - m*c*y*(V-S) + transport;  glass = m*V - m*c*y*dV + transport;  PET = m(V+conv) - m*c*y*q*(V-S) + m(1-c)*b*burn + transport;  parity c* = (Al at zero collection - PET)/(m*y*(V-S)).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</si>
</sst>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45"/>
    <col collapsed="false" customWidth="true" hidden="false" outlineLevel="0" max="4" min="4" style="0" width="10"/>
    <col collapsed="false" customWidth="true" hidden="false" outlineLevel="0" max="5" min="5" style="0" width="36"/>
    <col collapsed="false" customWidth="true" hidden="false" outlineLevel="0" max="6" min="6" style="0" width="25"/>
    <col collapsed="false" customWidth="true" hidden="false" outlineLevel="0" max="7" min="7" style="0" width="42"/>
    <col collapsed="false" customWidth="true" hidden="false" outlineLevel="0" max="8" min="8" style="0" width="26"/>
    <col collapsed="false" customWidth="true" hidden="false" outlineLevel="0" max="9" min="9" style="0" width="29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2" min="12" style="0" width="16"/>
    <col collapsed="false" customWidth="true" hidden="false" outlineLevel="0" max="14" min="13" style="0" width="45"/>
    <col collapsed="false" customWidth="true" hidden="false" outlineLevel="0" max="15" min="15" style="0" width="17"/>
    <col collapsed="false" customWidth="true" hidden="false" outlineLevel="0" max="16" min="16" style="0" width="27"/>
    <col collapsed="false" customWidth="true" hidden="false" outlineLevel="0" max="17" min="17" style="0" width="45"/>
    <col collapsed="false" customWidth="true" hidden="false" outlineLevel="0" max="18" min="18" style="0" width="20"/>
    <col collapsed="false" customWidth="true" hidden="false" outlineLevel="0" max="20" min="19" style="0" width="21"/>
    <col collapsed="false" customWidth="true" hidden="false" outlineLevel="0" max="21" min="21" style="0" width="60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1" t="s">
        <v>20</v>
      </c>
      <c r="W1" s="1" t="s">
        <v>21</v>
      </c>
    </row>
    <row r="2" customFormat="false" ht="15" hidden="false" customHeight="false" outlineLevel="0" collapsed="false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0" t="s">
        <v>27</v>
      </c>
      <c r="G2" s="0" t="s">
        <v>28</v>
      </c>
      <c r="H2" s="0" t="s">
        <v>29</v>
      </c>
      <c r="I2" s="0" t="s">
        <v>30</v>
      </c>
      <c r="J2" s="0" t="n">
        <v>198</v>
      </c>
      <c r="K2" s="0" t="n">
        <v>933</v>
      </c>
      <c r="L2" s="0" t="s">
        <v>31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n">
        <f aca="false">K2/J2</f>
        <v>4.71212121212121</v>
      </c>
      <c r="S2" s="0" t="n">
        <f aca="false">LN(R2)</f>
        <v>1.55013817015281</v>
      </c>
      <c r="T2" s="0" t="s">
        <v>37</v>
      </c>
      <c r="W2" s="0" t="s">
        <v>38</v>
      </c>
    </row>
    <row r="3" customFormat="false" ht="15" hidden="false" customHeight="false" outlineLevel="0" collapsed="false">
      <c r="A3" s="0" t="s">
        <v>39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40</v>
      </c>
      <c r="J3" s="0" t="n">
        <v>198</v>
      </c>
      <c r="K3" s="0" t="n">
        <v>513</v>
      </c>
      <c r="L3" s="0" t="s">
        <v>31</v>
      </c>
      <c r="M3" s="0" t="s">
        <v>32</v>
      </c>
      <c r="N3" s="0" t="s">
        <v>33</v>
      </c>
      <c r="O3" s="0" t="s">
        <v>34</v>
      </c>
      <c r="P3" s="0" t="s">
        <v>35</v>
      </c>
      <c r="Q3" s="0" t="s">
        <v>36</v>
      </c>
      <c r="R3" s="0" t="n">
        <f aca="false">K3/J3</f>
        <v>2.59090909090909</v>
      </c>
      <c r="S3" s="0" t="n">
        <f aca="false">LN(R3)</f>
        <v>0.952008814476234</v>
      </c>
      <c r="T3" s="0" t="s">
        <v>41</v>
      </c>
    </row>
    <row r="4" customFormat="false" ht="15" hidden="false" customHeight="false" outlineLevel="0" collapsed="false">
      <c r="A4" s="0" t="s">
        <v>42</v>
      </c>
      <c r="B4" s="0" t="s">
        <v>23</v>
      </c>
      <c r="C4" s="0" t="s">
        <v>24</v>
      </c>
      <c r="D4" s="0" t="s">
        <v>25</v>
      </c>
      <c r="E4" s="0" t="s">
        <v>26</v>
      </c>
      <c r="F4" s="0" t="s">
        <v>27</v>
      </c>
      <c r="G4" s="0" t="s">
        <v>28</v>
      </c>
      <c r="H4" s="0" t="s">
        <v>29</v>
      </c>
      <c r="I4" s="0" t="s">
        <v>43</v>
      </c>
      <c r="J4" s="0" t="n">
        <v>198</v>
      </c>
      <c r="K4" s="0" t="n">
        <v>170</v>
      </c>
      <c r="L4" s="0" t="s">
        <v>31</v>
      </c>
      <c r="M4" s="0" t="s">
        <v>32</v>
      </c>
      <c r="N4" s="0" t="s">
        <v>33</v>
      </c>
      <c r="O4" s="0" t="s">
        <v>34</v>
      </c>
      <c r="P4" s="0" t="s">
        <v>35</v>
      </c>
      <c r="Q4" s="0" t="s">
        <v>36</v>
      </c>
      <c r="R4" s="0" t="n">
        <f aca="false">K4/J4</f>
        <v>0.858585858585859</v>
      </c>
      <c r="S4" s="0" t="n">
        <f aca="false">LN(R4)</f>
        <v>-0.152468593644274</v>
      </c>
      <c r="T4" s="0" t="s">
        <v>44</v>
      </c>
    </row>
    <row r="5" customFormat="false" ht="15" hidden="false" customHeight="false" outlineLevel="0" collapsed="false">
      <c r="A5" s="0" t="s">
        <v>45</v>
      </c>
      <c r="B5" s="0" t="s">
        <v>46</v>
      </c>
      <c r="C5" s="0" t="s">
        <v>47</v>
      </c>
      <c r="D5" s="0" t="s">
        <v>48</v>
      </c>
      <c r="E5" s="0" t="s">
        <v>49</v>
      </c>
      <c r="F5" s="0" t="s">
        <v>50</v>
      </c>
      <c r="G5" s="0" t="s">
        <v>51</v>
      </c>
      <c r="H5" s="0" t="s">
        <v>52</v>
      </c>
      <c r="I5" s="0" t="s">
        <v>53</v>
      </c>
      <c r="J5" s="0" t="n">
        <v>546.5</v>
      </c>
      <c r="K5" s="0" t="n">
        <v>963.5</v>
      </c>
      <c r="L5" s="0" t="s">
        <v>31</v>
      </c>
      <c r="M5" s="0" t="s">
        <v>54</v>
      </c>
      <c r="N5" s="0" t="s">
        <v>33</v>
      </c>
      <c r="O5" s="0" t="s">
        <v>34</v>
      </c>
      <c r="P5" s="0" t="s">
        <v>35</v>
      </c>
      <c r="Q5" s="0" t="s">
        <v>55</v>
      </c>
      <c r="R5" s="0" t="n">
        <f aca="false">K5/J5</f>
        <v>1.76303751143641</v>
      </c>
      <c r="S5" s="0" t="n">
        <f aca="false">LN(R5)</f>
        <v>0.567038180237828</v>
      </c>
      <c r="T5" s="0" t="s">
        <v>37</v>
      </c>
    </row>
    <row r="6" customFormat="false" ht="15" hidden="false" customHeight="false" outlineLevel="0" collapsed="false">
      <c r="A6" s="0" t="s">
        <v>56</v>
      </c>
      <c r="B6" s="0" t="s">
        <v>57</v>
      </c>
      <c r="C6" s="0" t="s">
        <v>58</v>
      </c>
      <c r="D6" s="0" t="s">
        <v>48</v>
      </c>
      <c r="E6" s="0" t="s">
        <v>59</v>
      </c>
      <c r="F6" s="0" t="s">
        <v>60</v>
      </c>
      <c r="G6" s="0" t="s">
        <v>61</v>
      </c>
      <c r="H6" s="0" t="s">
        <v>62</v>
      </c>
      <c r="I6" s="0" t="s">
        <v>63</v>
      </c>
      <c r="J6" s="0" t="n">
        <v>26</v>
      </c>
      <c r="K6" s="0" t="n">
        <v>100</v>
      </c>
      <c r="L6" s="0" t="s">
        <v>64</v>
      </c>
      <c r="M6" s="0" t="s">
        <v>65</v>
      </c>
      <c r="N6" s="0" t="s">
        <v>66</v>
      </c>
      <c r="O6" s="0" t="s">
        <v>67</v>
      </c>
      <c r="P6" s="0" t="s">
        <v>35</v>
      </c>
      <c r="Q6" s="0" t="s">
        <v>68</v>
      </c>
      <c r="R6" s="0" t="n">
        <f aca="false">K6/J6</f>
        <v>3.84615384615385</v>
      </c>
      <c r="S6" s="0" t="n">
        <f aca="false">LN(R6)</f>
        <v>1.34707364796661</v>
      </c>
      <c r="T6" s="0" t="s">
        <v>41</v>
      </c>
      <c r="U6" s="0" t="s">
        <v>69</v>
      </c>
    </row>
    <row r="7" customFormat="false" ht="15" hidden="false" customHeight="false" outlineLevel="0" collapsed="false">
      <c r="A7" s="0" t="s">
        <v>70</v>
      </c>
      <c r="B7" s="0" t="s">
        <v>71</v>
      </c>
      <c r="C7" s="0" t="s">
        <v>72</v>
      </c>
      <c r="D7" s="0" t="s">
        <v>25</v>
      </c>
      <c r="E7" s="0" t="s">
        <v>25</v>
      </c>
      <c r="F7" s="0" t="s">
        <v>73</v>
      </c>
      <c r="G7" s="0" t="s">
        <v>74</v>
      </c>
      <c r="H7" s="0" t="s">
        <v>75</v>
      </c>
      <c r="I7" s="0" t="s">
        <v>53</v>
      </c>
      <c r="J7" s="0" t="n">
        <v>81.52</v>
      </c>
      <c r="K7" s="0" t="n">
        <v>425.43</v>
      </c>
      <c r="L7" s="0" t="s">
        <v>76</v>
      </c>
      <c r="M7" s="0" t="s">
        <v>32</v>
      </c>
      <c r="N7" s="0" t="s">
        <v>77</v>
      </c>
      <c r="O7" s="0" t="s">
        <v>34</v>
      </c>
      <c r="P7" s="0" t="s">
        <v>35</v>
      </c>
      <c r="Q7" s="0" t="s">
        <v>78</v>
      </c>
      <c r="R7" s="0" t="n">
        <f aca="false">K7/J7</f>
        <v>5.2187193326791</v>
      </c>
      <c r="S7" s="0" t="n">
        <f aca="false">LN(R7)</f>
        <v>1.6522520332269</v>
      </c>
      <c r="T7" s="0" t="s">
        <v>37</v>
      </c>
    </row>
    <row r="8" customFormat="false" ht="15" hidden="false" customHeight="false" outlineLevel="0" collapsed="false">
      <c r="A8" s="0" t="s">
        <v>79</v>
      </c>
      <c r="B8" s="0" t="s">
        <v>80</v>
      </c>
      <c r="C8" s="0" t="s">
        <v>81</v>
      </c>
      <c r="D8" s="0" t="s">
        <v>82</v>
      </c>
      <c r="E8" s="0" t="s">
        <v>83</v>
      </c>
      <c r="F8" s="0" t="s">
        <v>84</v>
      </c>
      <c r="G8" s="0" t="s">
        <v>74</v>
      </c>
      <c r="H8" s="0" t="s">
        <v>85</v>
      </c>
      <c r="I8" s="0" t="s">
        <v>86</v>
      </c>
      <c r="J8" s="0" t="n">
        <v>154.5</v>
      </c>
      <c r="K8" s="0" t="n">
        <v>85</v>
      </c>
      <c r="L8" s="0" t="s">
        <v>76</v>
      </c>
      <c r="M8" s="0" t="s">
        <v>87</v>
      </c>
      <c r="N8" s="0" t="s">
        <v>88</v>
      </c>
      <c r="O8" s="0" t="s">
        <v>89</v>
      </c>
      <c r="P8" s="0" t="s">
        <v>35</v>
      </c>
      <c r="Q8" s="0" t="s">
        <v>90</v>
      </c>
      <c r="R8" s="0" t="n">
        <f aca="false">K8/J8</f>
        <v>0.550161812297735</v>
      </c>
      <c r="S8" s="0" t="n">
        <f aca="false">LN(R8)</f>
        <v>-0.597542839847484</v>
      </c>
      <c r="T8" s="0" t="s">
        <v>44</v>
      </c>
      <c r="U8" s="0" t="s">
        <v>91</v>
      </c>
    </row>
    <row r="9" customFormat="false" ht="15" hidden="false" customHeight="false" outlineLevel="0" collapsed="false">
      <c r="A9" s="0" t="s">
        <v>92</v>
      </c>
      <c r="B9" s="0" t="s">
        <v>80</v>
      </c>
      <c r="C9" s="0" t="s">
        <v>81</v>
      </c>
      <c r="D9" s="0" t="s">
        <v>82</v>
      </c>
      <c r="E9" s="0" t="s">
        <v>83</v>
      </c>
      <c r="F9" s="0" t="s">
        <v>84</v>
      </c>
      <c r="G9" s="0" t="s">
        <v>74</v>
      </c>
      <c r="H9" s="0" t="s">
        <v>93</v>
      </c>
      <c r="I9" s="0" t="s">
        <v>86</v>
      </c>
      <c r="J9" s="0" t="n">
        <v>128.8</v>
      </c>
      <c r="K9" s="0" t="n">
        <v>85</v>
      </c>
      <c r="L9" s="0" t="s">
        <v>76</v>
      </c>
      <c r="M9" s="0" t="s">
        <v>94</v>
      </c>
      <c r="N9" s="0" t="s">
        <v>88</v>
      </c>
      <c r="O9" s="0" t="s">
        <v>89</v>
      </c>
      <c r="P9" s="0" t="s">
        <v>35</v>
      </c>
      <c r="Q9" s="0" t="s">
        <v>90</v>
      </c>
      <c r="R9" s="0" t="n">
        <f aca="false">K9/J9</f>
        <v>0.659937888198758</v>
      </c>
      <c r="S9" s="0" t="n">
        <f aca="false">LN(R9)</f>
        <v>-0.415609557179937</v>
      </c>
      <c r="T9" s="0" t="s">
        <v>44</v>
      </c>
      <c r="U9" s="0" t="s">
        <v>91</v>
      </c>
    </row>
    <row r="10" customFormat="false" ht="15" hidden="false" customHeight="false" outlineLevel="0" collapsed="false">
      <c r="A10" s="0" t="s">
        <v>95</v>
      </c>
      <c r="B10" s="0" t="s">
        <v>96</v>
      </c>
      <c r="C10" s="0" t="s">
        <v>97</v>
      </c>
      <c r="D10" s="0" t="s">
        <v>98</v>
      </c>
      <c r="E10" s="0" t="s">
        <v>99</v>
      </c>
      <c r="F10" s="0" t="s">
        <v>100</v>
      </c>
      <c r="G10" s="0" t="s">
        <v>101</v>
      </c>
      <c r="H10" s="0" t="s">
        <v>102</v>
      </c>
      <c r="I10" s="0" t="s">
        <v>103</v>
      </c>
      <c r="J10" s="0" t="n">
        <v>3</v>
      </c>
      <c r="K10" s="0" t="n">
        <v>2</v>
      </c>
      <c r="L10" s="0" t="s">
        <v>104</v>
      </c>
      <c r="M10" s="0" t="s">
        <v>105</v>
      </c>
      <c r="N10" s="0" t="s">
        <v>33</v>
      </c>
      <c r="O10" s="0" t="s">
        <v>34</v>
      </c>
      <c r="P10" s="0" t="s">
        <v>35</v>
      </c>
      <c r="Q10" s="0" t="s">
        <v>106</v>
      </c>
      <c r="R10" s="0" t="n">
        <f aca="false">K10/J10</f>
        <v>0.666666666666667</v>
      </c>
      <c r="S10" s="0" t="n">
        <f aca="false">LN(R10)</f>
        <v>-0.405465108108164</v>
      </c>
      <c r="T10" s="0" t="s">
        <v>41</v>
      </c>
      <c r="U10" s="0" t="s">
        <v>107</v>
      </c>
    </row>
    <row r="11" customFormat="false" ht="15" hidden="false" customHeight="false" outlineLevel="0" collapsed="false">
      <c r="A11" s="0" t="s">
        <v>108</v>
      </c>
      <c r="B11" s="0" t="s">
        <v>109</v>
      </c>
      <c r="C11" s="0" t="s">
        <v>110</v>
      </c>
      <c r="D11" s="0" t="s">
        <v>111</v>
      </c>
      <c r="E11" s="0" t="s">
        <v>112</v>
      </c>
      <c r="F11" s="0" t="s">
        <v>113</v>
      </c>
      <c r="G11" s="0" t="s">
        <v>114</v>
      </c>
      <c r="H11" s="0" t="s">
        <v>115</v>
      </c>
      <c r="I11" s="0" t="s">
        <v>116</v>
      </c>
      <c r="J11" s="0" t="n">
        <v>3.52</v>
      </c>
      <c r="K11" s="0" t="n">
        <v>1</v>
      </c>
      <c r="L11" s="0" t="s">
        <v>117</v>
      </c>
      <c r="M11" s="0" t="s">
        <v>118</v>
      </c>
      <c r="N11" s="0" t="s">
        <v>119</v>
      </c>
      <c r="O11" s="0" t="s">
        <v>120</v>
      </c>
      <c r="P11" s="0" t="s">
        <v>121</v>
      </c>
      <c r="Q11" s="0" t="s">
        <v>122</v>
      </c>
      <c r="R11" s="0" t="n">
        <f aca="false">K11/J11</f>
        <v>0.284090909090909</v>
      </c>
      <c r="S11" s="0" t="n">
        <f aca="false">LN(R11)</f>
        <v>-1.25846098961001</v>
      </c>
      <c r="T11" s="0" t="s">
        <v>123</v>
      </c>
      <c r="U11" s="0" t="s">
        <v>124</v>
      </c>
    </row>
    <row r="12" customFormat="false" ht="15" hidden="false" customHeight="false" outlineLevel="0" collapsed="false">
      <c r="A12" s="0" t="s">
        <v>125</v>
      </c>
      <c r="B12" s="0" t="s">
        <v>109</v>
      </c>
      <c r="C12" s="0" t="s">
        <v>110</v>
      </c>
      <c r="D12" s="0" t="s">
        <v>111</v>
      </c>
      <c r="E12" s="0" t="s">
        <v>112</v>
      </c>
      <c r="F12" s="0" t="s">
        <v>126</v>
      </c>
      <c r="G12" s="0" t="s">
        <v>114</v>
      </c>
      <c r="H12" s="0" t="s">
        <v>127</v>
      </c>
      <c r="I12" s="0" t="s">
        <v>116</v>
      </c>
      <c r="J12" s="0" t="n">
        <v>5.26</v>
      </c>
      <c r="K12" s="0" t="n">
        <v>1</v>
      </c>
      <c r="L12" s="0" t="s">
        <v>117</v>
      </c>
      <c r="M12" s="0" t="s">
        <v>128</v>
      </c>
      <c r="N12" s="0" t="s">
        <v>119</v>
      </c>
      <c r="O12" s="0" t="s">
        <v>120</v>
      </c>
      <c r="P12" s="0" t="s">
        <v>121</v>
      </c>
      <c r="Q12" s="0" t="s">
        <v>122</v>
      </c>
      <c r="R12" s="0" t="n">
        <f aca="false">K12/J12</f>
        <v>0.190114068441065</v>
      </c>
      <c r="S12" s="0" t="n">
        <f aca="false">LN(R12)</f>
        <v>-1.66013102674962</v>
      </c>
      <c r="T12" s="0" t="s">
        <v>123</v>
      </c>
      <c r="U12" s="0" t="s">
        <v>124</v>
      </c>
    </row>
    <row r="13" customFormat="false" ht="15" hidden="false" customHeight="false" outlineLevel="0" collapsed="false">
      <c r="A13" s="0" t="s">
        <v>129</v>
      </c>
      <c r="B13" s="0" t="s">
        <v>130</v>
      </c>
      <c r="C13" s="0" t="s">
        <v>131</v>
      </c>
      <c r="D13" s="0" t="s">
        <v>82</v>
      </c>
      <c r="E13" s="0" t="s">
        <v>26</v>
      </c>
      <c r="F13" s="0" t="s">
        <v>132</v>
      </c>
      <c r="G13" s="0" t="s">
        <v>74</v>
      </c>
      <c r="H13" s="0" t="s">
        <v>75</v>
      </c>
      <c r="I13" s="0" t="s">
        <v>133</v>
      </c>
      <c r="J13" s="0" t="n">
        <v>0.186</v>
      </c>
      <c r="K13" s="0" t="n">
        <v>0.43</v>
      </c>
      <c r="L13" s="0" t="s">
        <v>31</v>
      </c>
      <c r="M13" s="0" t="s">
        <v>134</v>
      </c>
      <c r="N13" s="0" t="s">
        <v>33</v>
      </c>
      <c r="O13" s="0" t="s">
        <v>34</v>
      </c>
      <c r="P13" s="0" t="s">
        <v>35</v>
      </c>
      <c r="Q13" s="0" t="s">
        <v>135</v>
      </c>
      <c r="R13" s="0" t="n">
        <f aca="false">K13/J13</f>
        <v>2.31182795698925</v>
      </c>
      <c r="S13" s="0" t="n">
        <f aca="false">LN(R13)</f>
        <v>0.838038534974407</v>
      </c>
      <c r="T13" s="0" t="s">
        <v>37</v>
      </c>
    </row>
    <row r="14" customFormat="false" ht="15" hidden="false" customHeight="false" outlineLevel="0" collapsed="false">
      <c r="A14" s="0" t="s">
        <v>136</v>
      </c>
      <c r="B14" s="0" t="s">
        <v>130</v>
      </c>
      <c r="C14" s="0" t="s">
        <v>131</v>
      </c>
      <c r="D14" s="0" t="s">
        <v>82</v>
      </c>
      <c r="E14" s="0" t="s">
        <v>26</v>
      </c>
      <c r="F14" s="0" t="s">
        <v>132</v>
      </c>
      <c r="G14" s="0" t="s">
        <v>74</v>
      </c>
      <c r="H14" s="0" t="s">
        <v>75</v>
      </c>
      <c r="I14" s="0" t="s">
        <v>137</v>
      </c>
      <c r="J14" s="0" t="n">
        <v>0.186</v>
      </c>
      <c r="K14" s="0" t="n">
        <v>0.208</v>
      </c>
      <c r="L14" s="0" t="s">
        <v>31</v>
      </c>
      <c r="M14" s="0" t="s">
        <v>138</v>
      </c>
      <c r="N14" s="0" t="s">
        <v>33</v>
      </c>
      <c r="O14" s="0" t="s">
        <v>34</v>
      </c>
      <c r="P14" s="0" t="s">
        <v>35</v>
      </c>
      <c r="Q14" s="0" t="s">
        <v>135</v>
      </c>
      <c r="R14" s="0" t="n">
        <f aca="false">K14/J14</f>
        <v>1.11827956989247</v>
      </c>
      <c r="S14" s="0" t="n">
        <f aca="false">LN(R14)</f>
        <v>0.111791405988117</v>
      </c>
      <c r="T14" s="0" t="s">
        <v>139</v>
      </c>
    </row>
    <row r="15" customFormat="false" ht="15" hidden="false" customHeight="false" outlineLevel="0" collapsed="false">
      <c r="A15" s="0" t="s">
        <v>140</v>
      </c>
      <c r="B15" s="0" t="s">
        <v>130</v>
      </c>
      <c r="C15" s="0" t="s">
        <v>131</v>
      </c>
      <c r="D15" s="0" t="s">
        <v>82</v>
      </c>
      <c r="E15" s="0" t="s">
        <v>26</v>
      </c>
      <c r="F15" s="0" t="s">
        <v>132</v>
      </c>
      <c r="G15" s="0" t="s">
        <v>74</v>
      </c>
      <c r="H15" s="0" t="s">
        <v>75</v>
      </c>
      <c r="I15" s="0" t="s">
        <v>141</v>
      </c>
      <c r="J15" s="0" t="n">
        <v>0.186</v>
      </c>
      <c r="K15" s="0" t="n">
        <v>0.185</v>
      </c>
      <c r="L15" s="0" t="s">
        <v>31</v>
      </c>
      <c r="M15" s="0" t="s">
        <v>142</v>
      </c>
      <c r="N15" s="0" t="s">
        <v>33</v>
      </c>
      <c r="O15" s="0" t="s">
        <v>34</v>
      </c>
      <c r="P15" s="0" t="s">
        <v>35</v>
      </c>
      <c r="Q15" s="0" t="s">
        <v>135</v>
      </c>
      <c r="R15" s="0" t="n">
        <f aca="false">K15/J15</f>
        <v>0.994623655913979</v>
      </c>
      <c r="S15" s="0" t="n">
        <f aca="false">LN(R15)</f>
        <v>-0.00539084863487642</v>
      </c>
      <c r="T15" s="0" t="s">
        <v>139</v>
      </c>
    </row>
    <row r="16" customFormat="false" ht="15" hidden="false" customHeight="false" outlineLevel="0" collapsed="false">
      <c r="A16" s="0" t="s">
        <v>143</v>
      </c>
      <c r="B16" s="0" t="s">
        <v>130</v>
      </c>
      <c r="C16" s="0" t="s">
        <v>131</v>
      </c>
      <c r="D16" s="0" t="s">
        <v>82</v>
      </c>
      <c r="E16" s="0" t="s">
        <v>26</v>
      </c>
      <c r="F16" s="0" t="s">
        <v>132</v>
      </c>
      <c r="G16" s="0" t="s">
        <v>74</v>
      </c>
      <c r="H16" s="0" t="s">
        <v>144</v>
      </c>
      <c r="I16" s="0" t="s">
        <v>145</v>
      </c>
      <c r="J16" s="0" t="n">
        <v>0.186</v>
      </c>
      <c r="K16" s="0" t="n">
        <v>0.152</v>
      </c>
      <c r="L16" s="0" t="s">
        <v>31</v>
      </c>
      <c r="M16" s="0" t="s">
        <v>146</v>
      </c>
      <c r="N16" s="0" t="s">
        <v>33</v>
      </c>
      <c r="O16" s="0" t="s">
        <v>34</v>
      </c>
      <c r="P16" s="0" t="s">
        <v>35</v>
      </c>
      <c r="Q16" s="0" t="s">
        <v>135</v>
      </c>
      <c r="R16" s="0" t="n">
        <f aca="false">K16/J16</f>
        <v>0.817204301075269</v>
      </c>
      <c r="S16" s="0" t="n">
        <f aca="false">LN(R16)</f>
        <v>-0.201866152866925</v>
      </c>
      <c r="T16" s="0" t="s">
        <v>147</v>
      </c>
    </row>
    <row r="17" customFormat="false" ht="15" hidden="false" customHeight="false" outlineLevel="0" collapsed="false">
      <c r="A17" s="0" t="s">
        <v>148</v>
      </c>
      <c r="B17" s="0" t="s">
        <v>149</v>
      </c>
      <c r="C17" s="0" t="s">
        <v>150</v>
      </c>
      <c r="D17" s="0" t="s">
        <v>151</v>
      </c>
      <c r="E17" s="0" t="s">
        <v>152</v>
      </c>
      <c r="F17" s="0" t="s">
        <v>126</v>
      </c>
      <c r="G17" s="0" t="s">
        <v>74</v>
      </c>
      <c r="H17" s="0" t="s">
        <v>153</v>
      </c>
      <c r="I17" s="0" t="s">
        <v>154</v>
      </c>
      <c r="J17" s="0" t="n">
        <v>0.078</v>
      </c>
      <c r="K17" s="0" t="n">
        <v>0.113</v>
      </c>
      <c r="L17" s="0" t="s">
        <v>155</v>
      </c>
      <c r="M17" s="0" t="s">
        <v>156</v>
      </c>
      <c r="N17" s="0" t="s">
        <v>33</v>
      </c>
      <c r="O17" s="0" t="s">
        <v>34</v>
      </c>
      <c r="P17" s="0" t="s">
        <v>35</v>
      </c>
      <c r="Q17" s="0" t="s">
        <v>135</v>
      </c>
      <c r="R17" s="0" t="n">
        <f aca="false">K17/J17</f>
        <v>1.44871794871795</v>
      </c>
      <c r="S17" s="0" t="n">
        <f aca="false">LN(R17)</f>
        <v>0.370678992022749</v>
      </c>
      <c r="T17" s="0" t="s">
        <v>44</v>
      </c>
      <c r="U17" s="0" t="s">
        <v>157</v>
      </c>
    </row>
    <row r="18" customFormat="false" ht="15" hidden="false" customHeight="false" outlineLevel="0" collapsed="false">
      <c r="A18" s="0" t="s">
        <v>158</v>
      </c>
      <c r="B18" s="0" t="s">
        <v>149</v>
      </c>
      <c r="C18" s="0" t="s">
        <v>150</v>
      </c>
      <c r="D18" s="0" t="s">
        <v>151</v>
      </c>
      <c r="E18" s="0" t="s">
        <v>152</v>
      </c>
      <c r="F18" s="0" t="s">
        <v>126</v>
      </c>
      <c r="G18" s="0" t="s">
        <v>74</v>
      </c>
      <c r="H18" s="0" t="s">
        <v>153</v>
      </c>
      <c r="I18" s="0" t="s">
        <v>159</v>
      </c>
      <c r="J18" s="0" t="n">
        <v>0.078</v>
      </c>
      <c r="K18" s="0" t="n">
        <v>0.826</v>
      </c>
      <c r="L18" s="0" t="s">
        <v>155</v>
      </c>
      <c r="M18" s="0" t="s">
        <v>156</v>
      </c>
      <c r="N18" s="0" t="s">
        <v>33</v>
      </c>
      <c r="O18" s="0" t="s">
        <v>34</v>
      </c>
      <c r="P18" s="0" t="s">
        <v>35</v>
      </c>
      <c r="Q18" s="0" t="s">
        <v>135</v>
      </c>
      <c r="R18" s="0" t="n">
        <f aca="false">K18/J18</f>
        <v>10.5897435897436</v>
      </c>
      <c r="S18" s="0" t="n">
        <f aca="false">LN(R18)</f>
        <v>2.35988594683139</v>
      </c>
      <c r="T18" s="0" t="s">
        <v>41</v>
      </c>
      <c r="U18" s="0" t="s">
        <v>160</v>
      </c>
    </row>
    <row r="19" customFormat="false" ht="15" hidden="false" customHeight="false" outlineLevel="0" collapsed="false">
      <c r="A19" s="0" t="s">
        <v>161</v>
      </c>
      <c r="B19" s="0" t="s">
        <v>162</v>
      </c>
      <c r="C19" s="0" t="s">
        <v>163</v>
      </c>
      <c r="D19" s="0" t="s">
        <v>164</v>
      </c>
      <c r="E19" s="0" t="s">
        <v>165</v>
      </c>
      <c r="F19" s="0" t="s">
        <v>73</v>
      </c>
      <c r="G19" s="0" t="s">
        <v>74</v>
      </c>
      <c r="H19" s="0" t="s">
        <v>29</v>
      </c>
      <c r="I19" s="0" t="s">
        <v>166</v>
      </c>
      <c r="J19" s="0" t="n">
        <v>0.293</v>
      </c>
      <c r="K19" s="0" t="n">
        <v>0.555</v>
      </c>
      <c r="L19" s="0" t="s">
        <v>155</v>
      </c>
      <c r="M19" s="0" t="s">
        <v>167</v>
      </c>
      <c r="N19" s="0" t="s">
        <v>33</v>
      </c>
      <c r="O19" s="0" t="s">
        <v>34</v>
      </c>
      <c r="P19" s="0" t="s">
        <v>35</v>
      </c>
      <c r="Q19" s="0" t="s">
        <v>135</v>
      </c>
      <c r="R19" s="0" t="n">
        <f aca="false">K19/J19</f>
        <v>1.89419795221843</v>
      </c>
      <c r="S19" s="0" t="n">
        <f aca="false">LN(R19)</f>
        <v>0.638795504729367</v>
      </c>
      <c r="T19" s="0" t="s">
        <v>37</v>
      </c>
      <c r="U19" s="0" t="s">
        <v>168</v>
      </c>
    </row>
    <row r="20" customFormat="false" ht="15" hidden="false" customHeight="false" outlineLevel="0" collapsed="false">
      <c r="A20" s="0" t="s">
        <v>169</v>
      </c>
      <c r="B20" s="0" t="s">
        <v>162</v>
      </c>
      <c r="C20" s="0" t="s">
        <v>163</v>
      </c>
      <c r="D20" s="0" t="s">
        <v>164</v>
      </c>
      <c r="E20" s="0" t="s">
        <v>165</v>
      </c>
      <c r="F20" s="0" t="s">
        <v>73</v>
      </c>
      <c r="G20" s="0" t="s">
        <v>74</v>
      </c>
      <c r="H20" s="0" t="s">
        <v>29</v>
      </c>
      <c r="I20" s="0" t="s">
        <v>40</v>
      </c>
      <c r="J20" s="0" t="n">
        <v>0.293</v>
      </c>
      <c r="K20" s="0" t="n">
        <v>0.312</v>
      </c>
      <c r="L20" s="0" t="s">
        <v>155</v>
      </c>
      <c r="M20" s="0" t="s">
        <v>167</v>
      </c>
      <c r="N20" s="0" t="s">
        <v>33</v>
      </c>
      <c r="O20" s="0" t="s">
        <v>34</v>
      </c>
      <c r="P20" s="0" t="s">
        <v>35</v>
      </c>
      <c r="Q20" s="0" t="s">
        <v>135</v>
      </c>
      <c r="R20" s="0" t="n">
        <f aca="false">K20/J20</f>
        <v>1.06484641638225</v>
      </c>
      <c r="S20" s="0" t="n">
        <f aca="false">LN(R20)</f>
        <v>0.0628305787924151</v>
      </c>
      <c r="T20" s="0" t="s">
        <v>41</v>
      </c>
      <c r="U20" s="0" t="s">
        <v>170</v>
      </c>
    </row>
    <row r="21" customFormat="false" ht="15" hidden="false" customHeight="false" outlineLevel="0" collapsed="false">
      <c r="A21" s="0" t="s">
        <v>171</v>
      </c>
      <c r="B21" s="0" t="s">
        <v>162</v>
      </c>
      <c r="C21" s="0" t="s">
        <v>163</v>
      </c>
      <c r="D21" s="0" t="s">
        <v>164</v>
      </c>
      <c r="E21" s="0" t="s">
        <v>165</v>
      </c>
      <c r="F21" s="0" t="s">
        <v>73</v>
      </c>
      <c r="G21" s="0" t="s">
        <v>74</v>
      </c>
      <c r="H21" s="0" t="s">
        <v>172</v>
      </c>
      <c r="I21" s="0" t="s">
        <v>166</v>
      </c>
      <c r="J21" s="0" t="n">
        <v>0.151</v>
      </c>
      <c r="K21" s="0" t="n">
        <v>0.555</v>
      </c>
      <c r="L21" s="0" t="s">
        <v>155</v>
      </c>
      <c r="M21" s="0" t="s">
        <v>167</v>
      </c>
      <c r="N21" s="0" t="s">
        <v>33</v>
      </c>
      <c r="O21" s="0" t="s">
        <v>34</v>
      </c>
      <c r="P21" s="0" t="s">
        <v>35</v>
      </c>
      <c r="Q21" s="0" t="s">
        <v>135</v>
      </c>
      <c r="R21" s="0" t="n">
        <f aca="false">K21/J21</f>
        <v>3.67549668874172</v>
      </c>
      <c r="S21" s="0" t="n">
        <f aca="false">LN(R21)</f>
        <v>1.30168827693151</v>
      </c>
      <c r="T21" s="0" t="s">
        <v>37</v>
      </c>
      <c r="U21" s="0" t="s">
        <v>170</v>
      </c>
    </row>
    <row r="22" customFormat="false" ht="15" hidden="false" customHeight="false" outlineLevel="0" collapsed="false">
      <c r="A22" s="0" t="s">
        <v>173</v>
      </c>
      <c r="B22" s="0" t="s">
        <v>162</v>
      </c>
      <c r="C22" s="0" t="s">
        <v>163</v>
      </c>
      <c r="D22" s="0" t="s">
        <v>164</v>
      </c>
      <c r="E22" s="0" t="s">
        <v>165</v>
      </c>
      <c r="F22" s="0" t="s">
        <v>73</v>
      </c>
      <c r="G22" s="0" t="s">
        <v>74</v>
      </c>
      <c r="H22" s="0" t="s">
        <v>172</v>
      </c>
      <c r="I22" s="0" t="s">
        <v>40</v>
      </c>
      <c r="J22" s="0" t="n">
        <v>0.151</v>
      </c>
      <c r="K22" s="0" t="n">
        <v>0.312</v>
      </c>
      <c r="L22" s="0" t="s">
        <v>155</v>
      </c>
      <c r="M22" s="0" t="s">
        <v>167</v>
      </c>
      <c r="N22" s="0" t="s">
        <v>33</v>
      </c>
      <c r="O22" s="0" t="s">
        <v>34</v>
      </c>
      <c r="P22" s="0" t="s">
        <v>35</v>
      </c>
      <c r="Q22" s="0" t="s">
        <v>135</v>
      </c>
      <c r="R22" s="0" t="n">
        <f aca="false">K22/J22</f>
        <v>2.06622516556291</v>
      </c>
      <c r="S22" s="0" t="n">
        <f aca="false">LN(R22)</f>
        <v>0.725723350994558</v>
      </c>
      <c r="T22" s="0" t="s">
        <v>41</v>
      </c>
      <c r="U22" s="0" t="s">
        <v>170</v>
      </c>
    </row>
    <row r="23" customFormat="false" ht="15" hidden="false" customHeight="false" outlineLevel="0" collapsed="false">
      <c r="A23" s="0" t="s">
        <v>174</v>
      </c>
      <c r="B23" s="0" t="s">
        <v>175</v>
      </c>
      <c r="C23" s="0" t="s">
        <v>176</v>
      </c>
      <c r="D23" s="0" t="s">
        <v>177</v>
      </c>
      <c r="E23" s="0" t="s">
        <v>178</v>
      </c>
      <c r="F23" s="0" t="s">
        <v>126</v>
      </c>
      <c r="G23" s="0" t="s">
        <v>179</v>
      </c>
      <c r="H23" s="0" t="s">
        <v>172</v>
      </c>
      <c r="I23" s="0" t="s">
        <v>180</v>
      </c>
      <c r="J23" s="0" t="n">
        <v>0.044</v>
      </c>
      <c r="K23" s="0" t="n">
        <v>2.57</v>
      </c>
      <c r="L23" s="0" t="s">
        <v>181</v>
      </c>
      <c r="M23" s="0" t="s">
        <v>182</v>
      </c>
      <c r="N23" s="0" t="s">
        <v>33</v>
      </c>
      <c r="O23" s="0" t="s">
        <v>34</v>
      </c>
      <c r="P23" s="0" t="s">
        <v>35</v>
      </c>
      <c r="Q23" s="0" t="s">
        <v>135</v>
      </c>
      <c r="R23" s="0" t="n">
        <f aca="false">K23/J23</f>
        <v>58.4090909090909</v>
      </c>
      <c r="S23" s="0" t="n">
        <f aca="false">LN(R23)</f>
        <v>4.067471543971</v>
      </c>
      <c r="T23" s="0" t="s">
        <v>37</v>
      </c>
      <c r="U23" s="0" t="s">
        <v>183</v>
      </c>
    </row>
    <row r="24" customFormat="false" ht="15" hidden="false" customHeight="false" outlineLevel="0" collapsed="false">
      <c r="A24" s="0" t="s">
        <v>184</v>
      </c>
      <c r="B24" s="0" t="s">
        <v>175</v>
      </c>
      <c r="C24" s="0" t="s">
        <v>176</v>
      </c>
      <c r="D24" s="0" t="s">
        <v>177</v>
      </c>
      <c r="E24" s="0" t="s">
        <v>178</v>
      </c>
      <c r="F24" s="0" t="s">
        <v>126</v>
      </c>
      <c r="G24" s="0" t="s">
        <v>179</v>
      </c>
      <c r="H24" s="0" t="s">
        <v>172</v>
      </c>
      <c r="I24" s="0" t="s">
        <v>40</v>
      </c>
      <c r="J24" s="0" t="n">
        <v>0.044</v>
      </c>
      <c r="K24" s="0" t="n">
        <v>0.46</v>
      </c>
      <c r="L24" s="0" t="s">
        <v>181</v>
      </c>
      <c r="M24" s="0" t="s">
        <v>182</v>
      </c>
      <c r="N24" s="0" t="s">
        <v>33</v>
      </c>
      <c r="O24" s="0" t="s">
        <v>34</v>
      </c>
      <c r="P24" s="0" t="s">
        <v>35</v>
      </c>
      <c r="Q24" s="0" t="s">
        <v>135</v>
      </c>
      <c r="R24" s="0" t="n">
        <f aca="false">K24/J24</f>
        <v>10.4545454545455</v>
      </c>
      <c r="S24" s="0" t="n">
        <f aca="false">LN(R24)</f>
        <v>2.34703685556488</v>
      </c>
      <c r="T24" s="0" t="s">
        <v>41</v>
      </c>
      <c r="U24" s="0" t="s">
        <v>183</v>
      </c>
    </row>
    <row r="25" customFormat="false" ht="15" hidden="false" customHeight="false" outlineLevel="0" collapsed="false">
      <c r="A25" s="0" t="s">
        <v>185</v>
      </c>
      <c r="B25" s="0" t="s">
        <v>186</v>
      </c>
      <c r="C25" s="0" t="s">
        <v>187</v>
      </c>
      <c r="D25" s="0" t="s">
        <v>188</v>
      </c>
      <c r="E25" s="0" t="s">
        <v>189</v>
      </c>
      <c r="F25" s="0" t="s">
        <v>113</v>
      </c>
      <c r="G25" s="0" t="s">
        <v>190</v>
      </c>
      <c r="H25" s="0" t="s">
        <v>191</v>
      </c>
      <c r="I25" s="0" t="s">
        <v>192</v>
      </c>
      <c r="J25" s="0" t="n">
        <v>0.12</v>
      </c>
      <c r="K25" s="0" t="n">
        <v>0.13</v>
      </c>
      <c r="L25" s="0" t="s">
        <v>155</v>
      </c>
      <c r="M25" s="0" t="s">
        <v>167</v>
      </c>
      <c r="N25" s="0" t="s">
        <v>33</v>
      </c>
      <c r="O25" s="0" t="s">
        <v>34</v>
      </c>
      <c r="P25" s="0" t="s">
        <v>193</v>
      </c>
      <c r="Q25" s="0" t="s">
        <v>135</v>
      </c>
      <c r="R25" s="0" t="n">
        <f aca="false">K25/J25</f>
        <v>1.08333333333333</v>
      </c>
      <c r="S25" s="0" t="n">
        <f aca="false">LN(R25)</f>
        <v>0.0800427076735366</v>
      </c>
      <c r="T25" s="0" t="s">
        <v>194</v>
      </c>
      <c r="U25" s="0" t="s">
        <v>195</v>
      </c>
    </row>
    <row r="26" customFormat="false" ht="15" hidden="false" customHeight="false" outlineLevel="0" collapsed="false">
      <c r="A26" s="0" t="s">
        <v>196</v>
      </c>
      <c r="B26" s="0" t="s">
        <v>186</v>
      </c>
      <c r="C26" s="0" t="s">
        <v>187</v>
      </c>
      <c r="D26" s="0" t="s">
        <v>188</v>
      </c>
      <c r="E26" s="0" t="s">
        <v>189</v>
      </c>
      <c r="F26" s="0" t="s">
        <v>113</v>
      </c>
      <c r="G26" s="0" t="s">
        <v>190</v>
      </c>
      <c r="H26" s="0" t="s">
        <v>197</v>
      </c>
      <c r="I26" s="0" t="s">
        <v>198</v>
      </c>
      <c r="J26" s="0" t="n">
        <v>0.59</v>
      </c>
      <c r="K26" s="0" t="n">
        <v>0.28</v>
      </c>
      <c r="L26" s="0" t="s">
        <v>155</v>
      </c>
      <c r="M26" s="0" t="s">
        <v>167</v>
      </c>
      <c r="N26" s="0" t="s">
        <v>33</v>
      </c>
      <c r="O26" s="0" t="s">
        <v>34</v>
      </c>
      <c r="P26" s="0" t="s">
        <v>193</v>
      </c>
      <c r="Q26" s="0" t="s">
        <v>135</v>
      </c>
      <c r="R26" s="0" t="n">
        <f aca="false">K26/J26</f>
        <v>0.474576271186441</v>
      </c>
      <c r="S26" s="0" t="n">
        <f aca="false">LN(R26)</f>
        <v>-0.745332933730515</v>
      </c>
      <c r="T26" s="0" t="s">
        <v>194</v>
      </c>
      <c r="U26" s="0" t="s">
        <v>195</v>
      </c>
    </row>
    <row r="27" customFormat="false" ht="15" hidden="false" customHeight="false" outlineLevel="0" collapsed="false">
      <c r="A27" s="0" t="s">
        <v>199</v>
      </c>
      <c r="B27" s="0" t="s">
        <v>200</v>
      </c>
      <c r="C27" s="0" t="s">
        <v>201</v>
      </c>
      <c r="D27" s="0" t="s">
        <v>82</v>
      </c>
      <c r="E27" s="0" t="s">
        <v>26</v>
      </c>
      <c r="F27" s="0" t="s">
        <v>202</v>
      </c>
      <c r="G27" s="0" t="s">
        <v>74</v>
      </c>
      <c r="H27" s="0" t="s">
        <v>203</v>
      </c>
      <c r="I27" s="0" t="s">
        <v>204</v>
      </c>
      <c r="J27" s="0" t="n">
        <v>188.6</v>
      </c>
      <c r="K27" s="0" t="n">
        <v>190.6</v>
      </c>
      <c r="L27" s="0" t="s">
        <v>76</v>
      </c>
      <c r="M27" s="0" t="s">
        <v>205</v>
      </c>
      <c r="N27" s="0" t="s">
        <v>33</v>
      </c>
      <c r="O27" s="0" t="s">
        <v>34</v>
      </c>
      <c r="P27" s="0" t="s">
        <v>35</v>
      </c>
      <c r="Q27" s="0" t="s">
        <v>206</v>
      </c>
      <c r="R27" s="0" t="n">
        <f aca="false">K27/J27</f>
        <v>1.01060445387063</v>
      </c>
      <c r="S27" s="0" t="n">
        <f aca="false">LN(R27)</f>
        <v>0.0105486210207445</v>
      </c>
      <c r="T27" s="0" t="s">
        <v>139</v>
      </c>
    </row>
    <row r="28" customFormat="false" ht="15" hidden="false" customHeight="false" outlineLevel="0" collapsed="false">
      <c r="A28" s="0" t="s">
        <v>207</v>
      </c>
      <c r="B28" s="0" t="s">
        <v>200</v>
      </c>
      <c r="C28" s="0" t="s">
        <v>201</v>
      </c>
      <c r="D28" s="0" t="s">
        <v>82</v>
      </c>
      <c r="E28" s="0" t="s">
        <v>26</v>
      </c>
      <c r="F28" s="0" t="s">
        <v>208</v>
      </c>
      <c r="G28" s="0" t="s">
        <v>74</v>
      </c>
      <c r="H28" s="0" t="s">
        <v>203</v>
      </c>
      <c r="I28" s="0" t="s">
        <v>204</v>
      </c>
      <c r="J28" s="0" t="n">
        <v>191.9</v>
      </c>
      <c r="K28" s="0" t="n">
        <v>166.1</v>
      </c>
      <c r="L28" s="0" t="s">
        <v>76</v>
      </c>
      <c r="M28" s="0" t="s">
        <v>205</v>
      </c>
      <c r="N28" s="0" t="s">
        <v>33</v>
      </c>
      <c r="O28" s="0" t="s">
        <v>34</v>
      </c>
      <c r="P28" s="0" t="s">
        <v>35</v>
      </c>
      <c r="Q28" s="0" t="s">
        <v>206</v>
      </c>
      <c r="R28" s="0" t="n">
        <f aca="false">K28/J28</f>
        <v>0.865554976550287</v>
      </c>
      <c r="S28" s="0" t="n">
        <f aca="false">LN(R28)</f>
        <v>-0.144384386394405</v>
      </c>
      <c r="T28" s="0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21"/>
    <col collapsed="false" customWidth="true" hidden="false" outlineLevel="0" max="7" min="5" style="0" width="20"/>
    <col collapsed="false" customWidth="true" hidden="false" outlineLevel="0" max="8" min="8" style="0" width="22"/>
    <col collapsed="false" customWidth="true" hidden="false" outlineLevel="0" max="9" min="9" style="0" width="21"/>
  </cols>
  <sheetData>
    <row r="1" customFormat="false" ht="15" hidden="false" customHeight="false" outlineLevel="0" collapsed="false">
      <c r="A1" s="0" t="s">
        <v>209</v>
      </c>
      <c r="B1" s="0" t="s">
        <v>210</v>
      </c>
      <c r="C1" s="0" t="s">
        <v>211</v>
      </c>
      <c r="D1" s="0" t="s">
        <v>212</v>
      </c>
      <c r="E1" s="0" t="s">
        <v>17</v>
      </c>
      <c r="F1" s="0" t="s">
        <v>213</v>
      </c>
      <c r="G1" s="0" t="s">
        <v>214</v>
      </c>
      <c r="H1" s="0" t="s">
        <v>215</v>
      </c>
      <c r="I1" s="0" t="s">
        <v>216</v>
      </c>
    </row>
    <row r="2" customFormat="false" ht="15" hidden="false" customHeight="false" outlineLevel="0" collapsed="false">
      <c r="A2" s="0" t="s">
        <v>217</v>
      </c>
      <c r="B2" s="0" t="n">
        <v>11</v>
      </c>
      <c r="C2" s="0" t="n">
        <v>23</v>
      </c>
      <c r="D2" s="0" t="n">
        <v>0.801006375852094</v>
      </c>
      <c r="E2" s="0" t="n">
        <v>2.22778178652433</v>
      </c>
      <c r="F2" s="0" t="n">
        <v>1.25729305097355</v>
      </c>
      <c r="G2" s="0" t="n">
        <v>4.18696696590427</v>
      </c>
      <c r="H2" s="0" t="n">
        <v>30.4347826086957</v>
      </c>
      <c r="I2" s="0" t="n">
        <v>1.07227388154057</v>
      </c>
    </row>
    <row r="3" customFormat="false" ht="15" hidden="false" customHeight="false" outlineLevel="0" collapsed="false">
      <c r="A3" s="0" t="s">
        <v>218</v>
      </c>
      <c r="B3" s="0" t="n">
        <v>6</v>
      </c>
      <c r="C3" s="0" t="n">
        <v>7</v>
      </c>
      <c r="D3" s="0" t="n">
        <v>1.6075300588989</v>
      </c>
      <c r="E3" s="0" t="n">
        <v>4.99046982630252</v>
      </c>
      <c r="F3" s="0" t="n">
        <v>2.37830572975914</v>
      </c>
      <c r="G3" s="0" t="n">
        <v>14.3245354953539</v>
      </c>
      <c r="H3" s="0" t="n">
        <v>0</v>
      </c>
      <c r="I3" s="0" t="n">
        <v>1.27573373067986</v>
      </c>
    </row>
    <row r="4" customFormat="false" ht="15" hidden="false" customHeight="false" outlineLevel="0" collapsed="false">
      <c r="A4" s="0" t="s">
        <v>219</v>
      </c>
      <c r="B4" s="0" t="n">
        <v>2</v>
      </c>
      <c r="C4" s="0" t="n">
        <v>4</v>
      </c>
      <c r="D4" s="0" t="n">
        <v>-0.006858802005105</v>
      </c>
      <c r="E4" s="0" t="n">
        <v>0.993164665892826</v>
      </c>
      <c r="F4" s="0" t="n">
        <v>0.935272000207215</v>
      </c>
      <c r="G4" s="0" t="n">
        <v>1.05464084604208</v>
      </c>
      <c r="H4" s="0" t="n">
        <v>50</v>
      </c>
      <c r="I4" s="0" t="n">
        <v>0.0849363664437557</v>
      </c>
    </row>
    <row r="5" customFormat="false" ht="15" hidden="false" customHeight="false" outlineLevel="0" collapsed="false">
      <c r="A5" s="0" t="s">
        <v>220</v>
      </c>
      <c r="B5" s="0" t="n">
        <v>6</v>
      </c>
      <c r="C5" s="0" t="n">
        <v>7</v>
      </c>
      <c r="D5" s="0" t="n">
        <v>1.16580285360407</v>
      </c>
      <c r="E5" s="0" t="n">
        <v>3.20849780344766</v>
      </c>
      <c r="F5" s="0" t="n">
        <v>1.40370615459363</v>
      </c>
      <c r="G5" s="0" t="n">
        <v>7.04384846573868</v>
      </c>
      <c r="H5" s="0" t="n">
        <v>14.2857142857143</v>
      </c>
      <c r="I5" s="0" t="n">
        <v>1.09214013729274</v>
      </c>
    </row>
    <row r="6" customFormat="false" ht="15" hidden="false" customHeight="false" outlineLevel="0" collapsed="false">
      <c r="A6" s="0" t="s">
        <v>221</v>
      </c>
      <c r="B6" s="0" t="n">
        <v>3</v>
      </c>
      <c r="C6" s="0" t="n">
        <v>4</v>
      </c>
      <c r="D6" s="0" t="n">
        <v>-0.0961219333784116</v>
      </c>
      <c r="E6" s="0" t="n">
        <v>0.908353250735194</v>
      </c>
      <c r="F6" s="0" t="n">
        <v>0.602555080117468</v>
      </c>
      <c r="G6" s="0" t="n">
        <v>1.44871794871795</v>
      </c>
      <c r="H6" s="0" t="n">
        <v>75</v>
      </c>
      <c r="I6" s="0" t="n">
        <v>0.441333634479774</v>
      </c>
    </row>
    <row r="7" customFormat="false" ht="15" hidden="false" customHeight="false" outlineLevel="0" collapsed="false">
      <c r="A7" s="0" t="s">
        <v>222</v>
      </c>
      <c r="B7" s="0" t="n">
        <v>9</v>
      </c>
      <c r="C7" s="0" t="n">
        <v>20</v>
      </c>
      <c r="D7" s="0" t="n">
        <v>0.885619187213349</v>
      </c>
      <c r="E7" s="0" t="n">
        <v>2.42448513701217</v>
      </c>
      <c r="F7" s="0" t="n">
        <v>1.31549551106739</v>
      </c>
      <c r="G7" s="0" t="n">
        <v>4.9738689522005</v>
      </c>
      <c r="H7" s="0" t="n">
        <v>25</v>
      </c>
      <c r="I7" s="0" t="n">
        <v>1.08543293005965</v>
      </c>
    </row>
    <row r="8" customFormat="false" ht="15" hidden="false" customHeight="false" outlineLevel="0" collapsed="false">
      <c r="A8" s="0" t="s">
        <v>223</v>
      </c>
      <c r="B8" s="0" t="n">
        <v>10</v>
      </c>
      <c r="C8" s="0" t="n">
        <v>21</v>
      </c>
      <c r="D8" s="0" t="n">
        <v>0.560381593460509</v>
      </c>
      <c r="E8" s="0" t="n">
        <v>1.75134067295076</v>
      </c>
      <c r="F8" s="0" t="n">
        <v>1.13111349102769</v>
      </c>
      <c r="G8" s="0" t="n">
        <v>2.73142596051897</v>
      </c>
      <c r="H8" s="0" t="n">
        <v>33.3333333333333</v>
      </c>
      <c r="I8" s="0" t="n">
        <v>0.75488640214061</v>
      </c>
    </row>
    <row r="9" customFormat="false" ht="15" hidden="false" customHeight="false" outlineLevel="0" collapsed="false">
      <c r="A9" s="0" t="s">
        <v>224</v>
      </c>
      <c r="B9" s="0" t="n">
        <v>2</v>
      </c>
      <c r="C9" s="0" t="n">
        <v>3</v>
      </c>
      <c r="D9" s="0" t="n">
        <v>0.42024872472645</v>
      </c>
      <c r="E9" s="0" t="n">
        <v>1.52234015217143</v>
      </c>
      <c r="F9" s="0" t="n">
        <v>0.602555080117468</v>
      </c>
      <c r="G9" s="0" t="n">
        <v>3.84615384615385</v>
      </c>
      <c r="H9" s="0" t="n">
        <v>66.6666666666667</v>
      </c>
      <c r="I9" s="0" t="n">
        <v>1.31072837639164</v>
      </c>
    </row>
    <row r="11" customFormat="false" ht="15" hidden="false" customHeight="false" outlineLevel="0" collapsed="false">
      <c r="A11" s="1" t="s">
        <v>225</v>
      </c>
    </row>
    <row r="12" customFormat="false" ht="15" hidden="false" customHeight="false" outlineLevel="0" collapsed="false">
      <c r="A12" s="1" t="s">
        <v>209</v>
      </c>
      <c r="B12" s="1" t="s">
        <v>210</v>
      </c>
      <c r="C12" s="1" t="s">
        <v>211</v>
      </c>
      <c r="D12" s="1" t="s">
        <v>212</v>
      </c>
      <c r="E12" s="1" t="s">
        <v>17</v>
      </c>
      <c r="F12" s="1" t="s">
        <v>226</v>
      </c>
      <c r="G12" s="1" t="s">
        <v>227</v>
      </c>
      <c r="H12" s="1" t="s">
        <v>215</v>
      </c>
      <c r="I12" s="1" t="s">
        <v>216</v>
      </c>
    </row>
    <row r="13" customFormat="false" ht="15" hidden="false" customHeight="false" outlineLevel="0" collapsed="false">
      <c r="A13" s="0" t="s">
        <v>217</v>
      </c>
      <c r="B13" s="0" t="n">
        <f aca="false">COUNTIF(S2b_Study_means!$A$2:$A$50,A13)</f>
        <v>11</v>
      </c>
      <c r="C13" s="0" t="n">
        <f aca="false">SUMIF(S2b_Study_means!$A$2:$A$50,A13,S2b_Study_means!$D$2:$D$50)</f>
        <v>23</v>
      </c>
      <c r="D13" s="0" t="n">
        <f aca="false">AVERAGEIF(S2b_Study_means!$A$2:$A$50,A13,S2b_Study_means!$C$2:$C$50)</f>
        <v>0.801006375852094</v>
      </c>
      <c r="E13" s="0" t="n">
        <f aca="false">EXP(D13)</f>
        <v>2.22778178652433</v>
      </c>
      <c r="F13" s="0" t="n">
        <f aca="false">IF(B13&gt;2,EXP(D13-TINV(0.05,B13-1)*I13/SQRT(B13)),"n/a")</f>
        <v>1.08398382400021</v>
      </c>
      <c r="G13" s="0" t="n">
        <f aca="false">IF(B13&gt;2,EXP(D13+TINV(0.05,B13-1)*I13/SQRT(B13)),"n/a")</f>
        <v>4.57849238935558</v>
      </c>
      <c r="H13" s="0" t="n">
        <f aca="false">100*SUMIF(S2b_Study_means!$A$2:$A$50,A13,S2b_Study_means!$E$2:$E$50)/C13</f>
        <v>30.4347826086957</v>
      </c>
      <c r="I13" s="0" t="n">
        <f aca="false">IF(B13&gt;1,SQRT((SUMPRODUCT((S2b_Study_means!$A$2:$A$50=A13)*(S2b_Study_means!$C$2:$C$50^2))-B13*D13^2)/(B13-1)),"n/a")</f>
        <v>1.07227388154057</v>
      </c>
    </row>
    <row r="14" customFormat="false" ht="15" hidden="false" customHeight="false" outlineLevel="0" collapsed="false">
      <c r="A14" s="0" t="s">
        <v>218</v>
      </c>
      <c r="B14" s="0" t="n">
        <f aca="false">COUNTIF(S2b_Study_means!$A$2:$A$50,A14)</f>
        <v>6</v>
      </c>
      <c r="C14" s="0" t="n">
        <f aca="false">SUMIF(S2b_Study_means!$A$2:$A$50,A14,S2b_Study_means!$D$2:$D$50)</f>
        <v>7</v>
      </c>
      <c r="D14" s="0" t="n">
        <f aca="false">AVERAGEIF(S2b_Study_means!$A$2:$A$50,A14,S2b_Study_means!$C$2:$C$50)</f>
        <v>1.6075300588989</v>
      </c>
      <c r="E14" s="0" t="n">
        <f aca="false">EXP(D14)</f>
        <v>4.99046982630252</v>
      </c>
      <c r="F14" s="0" t="n">
        <f aca="false">IF(B14&gt;2,EXP(D14-TINV(0.05,B14-1)*I14/SQRT(B14)),"n/a")</f>
        <v>1.30830134803546</v>
      </c>
      <c r="G14" s="0" t="n">
        <f aca="false">IF(B14&gt;2,EXP(D14+TINV(0.05,B14-1)*I14/SQRT(B14)),"n/a")</f>
        <v>19.0359729619119</v>
      </c>
      <c r="H14" s="0" t="n">
        <f aca="false">100*SUMIF(S2b_Study_means!$A$2:$A$50,A14,S2b_Study_means!$E$2:$E$50)/C14</f>
        <v>0</v>
      </c>
      <c r="I14" s="0" t="n">
        <f aca="false">IF(B14&gt;1,SQRT((SUMPRODUCT((S2b_Study_means!$A$2:$A$50=A14)*(S2b_Study_means!$C$2:$C$50^2))-B14*D14^2)/(B14-1)),"n/a")</f>
        <v>1.27573373067986</v>
      </c>
    </row>
    <row r="15" customFormat="false" ht="15" hidden="false" customHeight="false" outlineLevel="0" collapsed="false">
      <c r="A15" s="0" t="s">
        <v>219</v>
      </c>
      <c r="B15" s="0" t="n">
        <f aca="false">COUNTIF(S2b_Study_means!$A$2:$A$50,A15)</f>
        <v>2</v>
      </c>
      <c r="C15" s="0" t="n">
        <f aca="false">SUMIF(S2b_Study_means!$A$2:$A$50,A15,S2b_Study_means!$D$2:$D$50)</f>
        <v>4</v>
      </c>
      <c r="D15" s="0" t="n">
        <f aca="false">AVERAGEIF(S2b_Study_means!$A$2:$A$50,A15,S2b_Study_means!$C$2:$C$50)</f>
        <v>-0.00685880200510508</v>
      </c>
      <c r="E15" s="0" t="n">
        <f aca="false">EXP(D15)</f>
        <v>0.993164665892826</v>
      </c>
      <c r="F15" s="0" t="str">
        <f aca="false">IF(B15&gt;2,EXP(D15-TINV(0.05,B15-1)*I15/SQRT(B15)),"n/a")</f>
        <v>n/a</v>
      </c>
      <c r="G15" s="0" t="str">
        <f aca="false">IF(B15&gt;2,EXP(D15+TINV(0.05,B15-1)*I15/SQRT(B15)),"n/a")</f>
        <v>n/a</v>
      </c>
      <c r="H15" s="0" t="n">
        <f aca="false">100*SUMIF(S2b_Study_means!$A$2:$A$50,A15,S2b_Study_means!$E$2:$E$50)/C15</f>
        <v>50</v>
      </c>
      <c r="I15" s="0" t="n">
        <f aca="false">IF(B15&gt;1,SQRT((SUMPRODUCT((S2b_Study_means!$A$2:$A$50=A15)*(S2b_Study_means!$C$2:$C$50^2))-B15*D15^2)/(B15-1)),"n/a")</f>
        <v>0.0849363664437557</v>
      </c>
    </row>
    <row r="16" customFormat="false" ht="15" hidden="false" customHeight="false" outlineLevel="0" collapsed="false">
      <c r="A16" s="0" t="s">
        <v>220</v>
      </c>
      <c r="B16" s="0" t="n">
        <f aca="false">COUNTIF(S2b_Study_means!$A$2:$A$50,A16)</f>
        <v>6</v>
      </c>
      <c r="C16" s="0" t="n">
        <f aca="false">SUMIF(S2b_Study_means!$A$2:$A$50,A16,S2b_Study_means!$D$2:$D$50)</f>
        <v>7</v>
      </c>
      <c r="D16" s="0" t="n">
        <f aca="false">AVERAGEIF(S2b_Study_means!$A$2:$A$50,A16,S2b_Study_means!$C$2:$C$50)</f>
        <v>1.16580285360407</v>
      </c>
      <c r="E16" s="0" t="n">
        <f aca="false">EXP(D16)</f>
        <v>3.20849780344766</v>
      </c>
      <c r="F16" s="0" t="n">
        <f aca="false">IF(B16&gt;2,EXP(D16-TINV(0.05,B16-1)*I16/SQRT(B16)),"n/a")</f>
        <v>1.01986684001414</v>
      </c>
      <c r="G16" s="0" t="n">
        <f aca="false">IF(B16&gt;2,EXP(D16+TINV(0.05,B16-1)*I16/SQRT(B16)),"n/a")</f>
        <v>10.0939237857618</v>
      </c>
      <c r="H16" s="0" t="n">
        <f aca="false">100*SUMIF(S2b_Study_means!$A$2:$A$50,A16,S2b_Study_means!$E$2:$E$50)/C16</f>
        <v>14.2857142857143</v>
      </c>
      <c r="I16" s="0" t="n">
        <f aca="false">IF(B16&gt;1,SQRT((SUMPRODUCT((S2b_Study_means!$A$2:$A$50=A16)*(S2b_Study_means!$C$2:$C$50^2))-B16*D16^2)/(B16-1)),"n/a")</f>
        <v>1.09214013729274</v>
      </c>
    </row>
    <row r="17" customFormat="false" ht="15" hidden="false" customHeight="false" outlineLevel="0" collapsed="false">
      <c r="A17" s="0" t="s">
        <v>221</v>
      </c>
      <c r="B17" s="0" t="n">
        <f aca="false">COUNTIF(S2b_Study_means!$A$2:$A$50,A17)</f>
        <v>3</v>
      </c>
      <c r="C17" s="0" t="n">
        <f aca="false">SUMIF(S2b_Study_means!$A$2:$A$50,A17,S2b_Study_means!$D$2:$D$50)</f>
        <v>4</v>
      </c>
      <c r="D17" s="0" t="n">
        <f aca="false">AVERAGEIF(S2b_Study_means!$A$2:$A$50,A17,S2b_Study_means!$C$2:$C$50)</f>
        <v>-0.0961219333784117</v>
      </c>
      <c r="E17" s="0" t="n">
        <f aca="false">EXP(D17)</f>
        <v>0.908353250735194</v>
      </c>
      <c r="F17" s="0" t="n">
        <f aca="false">IF(B17&gt;2,EXP(D17-TINV(0.05,B17-1)*I17/SQRT(B17)),"n/a")</f>
        <v>0.303475177819655</v>
      </c>
      <c r="G17" s="0" t="n">
        <f aca="false">IF(B17&gt;2,EXP(D17+TINV(0.05,B17-1)*I17/SQRT(B17)),"n/a")</f>
        <v>2.71885705463373</v>
      </c>
      <c r="H17" s="0" t="n">
        <f aca="false">100*SUMIF(S2b_Study_means!$A$2:$A$50,A17,S2b_Study_means!$E$2:$E$50)/C17</f>
        <v>75</v>
      </c>
      <c r="I17" s="0" t="n">
        <f aca="false">IF(B17&gt;1,SQRT((SUMPRODUCT((S2b_Study_means!$A$2:$A$50=A17)*(S2b_Study_means!$C$2:$C$50^2))-B17*D17^2)/(B17-1)),"n/a")</f>
        <v>0.441333634479774</v>
      </c>
    </row>
    <row r="18" customFormat="false" ht="15" hidden="false" customHeight="false" outlineLevel="0" collapsed="false">
      <c r="A18" s="0" t="s">
        <v>222</v>
      </c>
      <c r="B18" s="0" t="n">
        <f aca="false">COUNTIF(S2b_Study_means!$A$2:$A$50,A18)</f>
        <v>9</v>
      </c>
      <c r="C18" s="0" t="n">
        <f aca="false">SUMIF(S2b_Study_means!$A$2:$A$50,A18,S2b_Study_means!$D$2:$D$50)</f>
        <v>20</v>
      </c>
      <c r="D18" s="0" t="n">
        <f aca="false">AVERAGEIF(S2b_Study_means!$A$2:$A$50,A18,S2b_Study_means!$C$2:$C$50)</f>
        <v>0.885619187213349</v>
      </c>
      <c r="E18" s="0" t="n">
        <f aca="false">EXP(D18)</f>
        <v>2.42448513701217</v>
      </c>
      <c r="F18" s="0" t="n">
        <f aca="false">IF(B18&gt;2,EXP(D18-TINV(0.05,B18-1)*I18/SQRT(B18)),"n/a")</f>
        <v>1.05261924683472</v>
      </c>
      <c r="G18" s="0" t="n">
        <f aca="false">IF(B18&gt;2,EXP(D18+TINV(0.05,B18-1)*I18/SQRT(B18)),"n/a")</f>
        <v>5.58428719336911</v>
      </c>
      <c r="H18" s="0" t="n">
        <f aca="false">100*SUMIF(S2b_Study_means!$A$2:$A$50,A18,S2b_Study_means!$E$2:$E$50)/C18</f>
        <v>25</v>
      </c>
      <c r="I18" s="0" t="n">
        <f aca="false">IF(B18&gt;1,SQRT((SUMPRODUCT((S2b_Study_means!$A$2:$A$50=A18)*(S2b_Study_means!$C$2:$C$50^2))-B18*D18^2)/(B18-1)),"n/a")</f>
        <v>1.08543293005965</v>
      </c>
    </row>
    <row r="19" customFormat="false" ht="15" hidden="false" customHeight="false" outlineLevel="0" collapsed="false">
      <c r="A19" s="0" t="s">
        <v>223</v>
      </c>
      <c r="B19" s="0" t="n">
        <f aca="false">COUNTIF(S2b_Study_means!$A$2:$A$50,A19)</f>
        <v>10</v>
      </c>
      <c r="C19" s="0" t="n">
        <f aca="false">SUMIF(S2b_Study_means!$A$2:$A$50,A19,S2b_Study_means!$D$2:$D$50)</f>
        <v>21</v>
      </c>
      <c r="D19" s="0" t="n">
        <f aca="false">AVERAGEIF(S2b_Study_means!$A$2:$A$50,A19,S2b_Study_means!$C$2:$C$50)</f>
        <v>0.560381593460509</v>
      </c>
      <c r="E19" s="0" t="n">
        <f aca="false">EXP(D19)</f>
        <v>1.75134067295076</v>
      </c>
      <c r="F19" s="0" t="n">
        <f aca="false">IF(B19&gt;2,EXP(D19-TINV(0.05,B19-1)*I19/SQRT(B19)),"n/a")</f>
        <v>1.0205772437499</v>
      </c>
      <c r="G19" s="0" t="n">
        <f aca="false">IF(B19&gt;2,EXP(D19+TINV(0.05,B19-1)*I19/SQRT(B19)),"n/a")</f>
        <v>3.00535228618449</v>
      </c>
      <c r="H19" s="0" t="n">
        <f aca="false">100*SUMIF(S2b_Study_means!$A$2:$A$50,A19,S2b_Study_means!$E$2:$E$50)/C19</f>
        <v>33.3333333333333</v>
      </c>
      <c r="I19" s="0" t="n">
        <f aca="false">IF(B19&gt;1,SQRT((SUMPRODUCT((S2b_Study_means!$A$2:$A$50=A19)*(S2b_Study_means!$C$2:$C$50^2))-B19*D19^2)/(B19-1)),"n/a")</f>
        <v>0.75488640214061</v>
      </c>
    </row>
    <row r="20" customFormat="false" ht="15" hidden="false" customHeight="false" outlineLevel="0" collapsed="false">
      <c r="A20" s="0" t="s">
        <v>224</v>
      </c>
      <c r="B20" s="0" t="n">
        <f aca="false">COUNTIF(S2b_Study_means!$A$2:$A$50,A20)</f>
        <v>2</v>
      </c>
      <c r="C20" s="0" t="n">
        <f aca="false">SUMIF(S2b_Study_means!$A$2:$A$50,A20,S2b_Study_means!$D$2:$D$50)</f>
        <v>3</v>
      </c>
      <c r="D20" s="0" t="n">
        <f aca="false">AVERAGEIF(S2b_Study_means!$A$2:$A$50,A20,S2b_Study_means!$C$2:$C$50)</f>
        <v>0.42024872472645</v>
      </c>
      <c r="E20" s="0" t="n">
        <f aca="false">EXP(D20)</f>
        <v>1.52234015217143</v>
      </c>
      <c r="F20" s="0" t="str">
        <f aca="false">IF(B20&gt;2,EXP(D20-TINV(0.05,B20-1)*I20/SQRT(B20)),"n/a")</f>
        <v>n/a</v>
      </c>
      <c r="G20" s="0" t="str">
        <f aca="false">IF(B20&gt;2,EXP(D20+TINV(0.05,B20-1)*I20/SQRT(B20)),"n/a")</f>
        <v>n/a</v>
      </c>
      <c r="H20" s="0" t="n">
        <f aca="false">100*SUMIF(S2b_Study_means!$A$2:$A$50,A20,S2b_Study_means!$E$2:$E$50)/C20</f>
        <v>66.6666666666667</v>
      </c>
      <c r="I20" s="0" t="n">
        <f aca="false">IF(B20&gt;1,SQRT((SUMPRODUCT((S2b_Study_means!$A$2:$A$50=A20)*(S2b_Study_means!$C$2:$C$50^2))-B20*D20^2)/(B20-1)),"n/a")</f>
        <v>1.31072837639164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1" t="s">
        <v>209</v>
      </c>
      <c r="B1" s="1" t="s">
        <v>1</v>
      </c>
      <c r="C1" s="1" t="s">
        <v>228</v>
      </c>
      <c r="D1" s="1" t="s">
        <v>211</v>
      </c>
      <c r="E1" s="1" t="s">
        <v>229</v>
      </c>
    </row>
    <row r="2" customFormat="false" ht="15" hidden="false" customHeight="false" outlineLevel="0" collapsed="false">
      <c r="A2" s="0" t="s">
        <v>217</v>
      </c>
      <c r="B2" s="0" t="s">
        <v>23</v>
      </c>
      <c r="C2" s="0" t="n">
        <f aca="false">AVERAGEIFS(S1_Extracted_pairs!$S$2:$S$28,S1_Extracted_pairs!$B$2:$B$28,$B2,S1_Extracted_pairs!$P$2:$P$28,"yes")</f>
        <v>0.783226130328257</v>
      </c>
      <c r="D2" s="0" t="n">
        <f aca="false">COUNTIFS(S1_Extracted_pairs!$B$2:$B$28,$B2,S1_Extracted_pairs!$P$2:$P$28,"yes")</f>
        <v>3</v>
      </c>
      <c r="E2" s="0" t="n">
        <f aca="false">COUNTIFS(S1_Extracted_pairs!$B$2:$B$28,$B2,S1_Extracted_pairs!$P$2:$P$28,"yes",S1_Extracted_pairs!$R$2:$R$28,"&lt;1")</f>
        <v>1</v>
      </c>
    </row>
    <row r="3" customFormat="false" ht="15" hidden="false" customHeight="false" outlineLevel="0" collapsed="false">
      <c r="A3" s="0" t="s">
        <v>217</v>
      </c>
      <c r="B3" s="0" t="s">
        <v>46</v>
      </c>
      <c r="C3" s="0" t="n">
        <f aca="false">AVERAGEIFS(S1_Extracted_pairs!$S$2:$S$28,S1_Extracted_pairs!$B$2:$B$28,$B3,S1_Extracted_pairs!$P$2:$P$28,"yes")</f>
        <v>0.567038180237828</v>
      </c>
      <c r="D3" s="0" t="n">
        <f aca="false">COUNTIFS(S1_Extracted_pairs!$B$2:$B$28,$B3,S1_Extracted_pairs!$P$2:$P$28,"yes")</f>
        <v>1</v>
      </c>
      <c r="E3" s="0" t="n">
        <f aca="false">COUNTIFS(S1_Extracted_pairs!$B$2:$B$28,$B3,S1_Extracted_pairs!$P$2:$P$28,"yes",S1_Extracted_pairs!$R$2:$R$28,"&lt;1")</f>
        <v>0</v>
      </c>
    </row>
    <row r="4" customFormat="false" ht="15" hidden="false" customHeight="false" outlineLevel="0" collapsed="false">
      <c r="A4" s="0" t="s">
        <v>217</v>
      </c>
      <c r="B4" s="0" t="s">
        <v>57</v>
      </c>
      <c r="C4" s="0" t="n">
        <f aca="false">AVERAGEIFS(S1_Extracted_pairs!$S$2:$S$28,S1_Extracted_pairs!$B$2:$B$28,$B4,S1_Extracted_pairs!$P$2:$P$28,"yes")</f>
        <v>1.34707364796661</v>
      </c>
      <c r="D4" s="0" t="n">
        <f aca="false">COUNTIFS(S1_Extracted_pairs!$B$2:$B$28,$B4,S1_Extracted_pairs!$P$2:$P$28,"yes")</f>
        <v>1</v>
      </c>
      <c r="E4" s="0" t="n">
        <f aca="false">COUNTIFS(S1_Extracted_pairs!$B$2:$B$28,$B4,S1_Extracted_pairs!$P$2:$P$28,"yes",S1_Extracted_pairs!$R$2:$R$28,"&lt;1")</f>
        <v>0</v>
      </c>
    </row>
    <row r="5" customFormat="false" ht="15" hidden="false" customHeight="false" outlineLevel="0" collapsed="false">
      <c r="A5" s="0" t="s">
        <v>217</v>
      </c>
      <c r="B5" s="0" t="s">
        <v>71</v>
      </c>
      <c r="C5" s="0" t="n">
        <f aca="false">AVERAGEIFS(S1_Extracted_pairs!$S$2:$S$28,S1_Extracted_pairs!$B$2:$B$28,$B5,S1_Extracted_pairs!$P$2:$P$28,"yes")</f>
        <v>1.6522520332269</v>
      </c>
      <c r="D5" s="0" t="n">
        <f aca="false">COUNTIFS(S1_Extracted_pairs!$B$2:$B$28,$B5,S1_Extracted_pairs!$P$2:$P$28,"yes")</f>
        <v>1</v>
      </c>
      <c r="E5" s="0" t="n">
        <f aca="false">COUNTIFS(S1_Extracted_pairs!$B$2:$B$28,$B5,S1_Extracted_pairs!$P$2:$P$28,"yes",S1_Extracted_pairs!$R$2:$R$28,"&lt;1")</f>
        <v>0</v>
      </c>
    </row>
    <row r="6" customFormat="false" ht="15" hidden="false" customHeight="false" outlineLevel="0" collapsed="false">
      <c r="A6" s="0" t="s">
        <v>217</v>
      </c>
      <c r="B6" s="0" t="s">
        <v>80</v>
      </c>
      <c r="C6" s="0" t="n">
        <f aca="false">AVERAGEIFS(S1_Extracted_pairs!$S$2:$S$28,S1_Extracted_pairs!$B$2:$B$28,$B6,S1_Extracted_pairs!$P$2:$P$28,"yes")</f>
        <v>-0.50657619851371</v>
      </c>
      <c r="D6" s="0" t="n">
        <f aca="false">COUNTIFS(S1_Extracted_pairs!$B$2:$B$28,$B6,S1_Extracted_pairs!$P$2:$P$28,"yes")</f>
        <v>2</v>
      </c>
      <c r="E6" s="0" t="n">
        <f aca="false">COUNTIFS(S1_Extracted_pairs!$B$2:$B$28,$B6,S1_Extracted_pairs!$P$2:$P$28,"yes",S1_Extracted_pairs!$R$2:$R$28,"&lt;1")</f>
        <v>2</v>
      </c>
    </row>
    <row r="7" customFormat="false" ht="15" hidden="false" customHeight="false" outlineLevel="0" collapsed="false">
      <c r="A7" s="0" t="s">
        <v>217</v>
      </c>
      <c r="B7" s="0" t="s">
        <v>96</v>
      </c>
      <c r="C7" s="0" t="n">
        <f aca="false">AVERAGEIFS(S1_Extracted_pairs!$S$2:$S$28,S1_Extracted_pairs!$B$2:$B$28,$B7,S1_Extracted_pairs!$P$2:$P$28,"yes")</f>
        <v>-0.405465108108164</v>
      </c>
      <c r="D7" s="0" t="n">
        <f aca="false">COUNTIFS(S1_Extracted_pairs!$B$2:$B$28,$B7,S1_Extracted_pairs!$P$2:$P$28,"yes")</f>
        <v>1</v>
      </c>
      <c r="E7" s="0" t="n">
        <f aca="false">COUNTIFS(S1_Extracted_pairs!$B$2:$B$28,$B7,S1_Extracted_pairs!$P$2:$P$28,"yes",S1_Extracted_pairs!$R$2:$R$28,"&lt;1")</f>
        <v>1</v>
      </c>
    </row>
    <row r="8" customFormat="false" ht="15" hidden="false" customHeight="false" outlineLevel="0" collapsed="false">
      <c r="A8" s="0" t="s">
        <v>217</v>
      </c>
      <c r="B8" s="0" t="s">
        <v>130</v>
      </c>
      <c r="C8" s="0" t="n">
        <f aca="false">AVERAGEIFS(S1_Extracted_pairs!$S$2:$S$28,S1_Extracted_pairs!$B$2:$B$28,$B8,S1_Extracted_pairs!$P$2:$P$28,"yes")</f>
        <v>0.185643234865181</v>
      </c>
      <c r="D8" s="0" t="n">
        <f aca="false">COUNTIFS(S1_Extracted_pairs!$B$2:$B$28,$B8,S1_Extracted_pairs!$P$2:$P$28,"yes")</f>
        <v>4</v>
      </c>
      <c r="E8" s="0" t="n">
        <f aca="false">COUNTIFS(S1_Extracted_pairs!$B$2:$B$28,$B8,S1_Extracted_pairs!$P$2:$P$28,"yes",S1_Extracted_pairs!$R$2:$R$28,"&lt;1")</f>
        <v>2</v>
      </c>
    </row>
    <row r="9" customFormat="false" ht="15" hidden="false" customHeight="false" outlineLevel="0" collapsed="false">
      <c r="A9" s="0" t="s">
        <v>217</v>
      </c>
      <c r="B9" s="0" t="s">
        <v>149</v>
      </c>
      <c r="C9" s="0" t="n">
        <f aca="false">AVERAGEIFS(S1_Extracted_pairs!$S$2:$S$28,S1_Extracted_pairs!$B$2:$B$28,$B9,S1_Extracted_pairs!$P$2:$P$28,"yes")</f>
        <v>1.36528246942707</v>
      </c>
      <c r="D9" s="0" t="n">
        <f aca="false">COUNTIFS(S1_Extracted_pairs!$B$2:$B$28,$B9,S1_Extracted_pairs!$P$2:$P$28,"yes")</f>
        <v>2</v>
      </c>
      <c r="E9" s="0" t="n">
        <f aca="false">COUNTIFS(S1_Extracted_pairs!$B$2:$B$28,$B9,S1_Extracted_pairs!$P$2:$P$28,"yes",S1_Extracted_pairs!$R$2:$R$28,"&lt;1")</f>
        <v>0</v>
      </c>
    </row>
    <row r="10" customFormat="false" ht="15" hidden="false" customHeight="false" outlineLevel="0" collapsed="false">
      <c r="A10" s="0" t="s">
        <v>217</v>
      </c>
      <c r="B10" s="0" t="s">
        <v>162</v>
      </c>
      <c r="C10" s="0" t="n">
        <f aca="false">AVERAGEIFS(S1_Extracted_pairs!$S$2:$S$28,S1_Extracted_pairs!$B$2:$B$28,$B10,S1_Extracted_pairs!$P$2:$P$28,"yes")</f>
        <v>0.682259427861963</v>
      </c>
      <c r="D10" s="0" t="n">
        <f aca="false">COUNTIFS(S1_Extracted_pairs!$B$2:$B$28,$B10,S1_Extracted_pairs!$P$2:$P$28,"yes")</f>
        <v>4</v>
      </c>
      <c r="E10" s="0" t="n">
        <f aca="false">COUNTIFS(S1_Extracted_pairs!$B$2:$B$28,$B10,S1_Extracted_pairs!$P$2:$P$28,"yes",S1_Extracted_pairs!$R$2:$R$28,"&lt;1")</f>
        <v>0</v>
      </c>
    </row>
    <row r="11" customFormat="false" ht="15" hidden="false" customHeight="false" outlineLevel="0" collapsed="false">
      <c r="A11" s="0" t="s">
        <v>217</v>
      </c>
      <c r="B11" s="0" t="s">
        <v>175</v>
      </c>
      <c r="C11" s="0" t="n">
        <f aca="false">AVERAGEIFS(S1_Extracted_pairs!$S$2:$S$28,S1_Extracted_pairs!$B$2:$B$28,$B11,S1_Extracted_pairs!$P$2:$P$28,"yes")</f>
        <v>3.20725419976794</v>
      </c>
      <c r="D11" s="0" t="n">
        <f aca="false">COUNTIFS(S1_Extracted_pairs!$B$2:$B$28,$B11,S1_Extracted_pairs!$P$2:$P$28,"yes")</f>
        <v>2</v>
      </c>
      <c r="E11" s="0" t="n">
        <f aca="false">COUNTIFS(S1_Extracted_pairs!$B$2:$B$28,$B11,S1_Extracted_pairs!$P$2:$P$28,"yes",S1_Extracted_pairs!$R$2:$R$28,"&lt;1")</f>
        <v>0</v>
      </c>
    </row>
    <row r="12" customFormat="false" ht="15" hidden="false" customHeight="false" outlineLevel="0" collapsed="false">
      <c r="A12" s="0" t="s">
        <v>217</v>
      </c>
      <c r="B12" s="0" t="s">
        <v>200</v>
      </c>
      <c r="C12" s="0" t="n">
        <f aca="false">AVERAGEIFS(S1_Extracted_pairs!$S$2:$S$28,S1_Extracted_pairs!$B$2:$B$28,$B12,S1_Extracted_pairs!$P$2:$P$28,"yes")</f>
        <v>-0.0669178826868303</v>
      </c>
      <c r="D12" s="0" t="n">
        <f aca="false">COUNTIFS(S1_Extracted_pairs!$B$2:$B$28,$B12,S1_Extracted_pairs!$P$2:$P$28,"yes")</f>
        <v>2</v>
      </c>
      <c r="E12" s="0" t="n">
        <f aca="false">COUNTIFS(S1_Extracted_pairs!$B$2:$B$28,$B12,S1_Extracted_pairs!$P$2:$P$28,"yes",S1_Extracted_pairs!$R$2:$R$28,"&lt;1")</f>
        <v>1</v>
      </c>
    </row>
    <row r="13" customFormat="false" ht="15" hidden="false" customHeight="false" outlineLevel="0" collapsed="false">
      <c r="A13" s="0" t="s">
        <v>218</v>
      </c>
      <c r="B13" s="0" t="s">
        <v>23</v>
      </c>
      <c r="C13" s="0" t="n">
        <f aca="false">AVERAGEIFS(S1_Extracted_pairs!$S$2:$S$28,S1_Extracted_pairs!$B$2:$B$28,$B13,S1_Extracted_pairs!$P$2:$P$28,"yes",S1_Extracted_pairs!$T$2:$T$28,"Glass")</f>
        <v>1.55013817015281</v>
      </c>
      <c r="D13" s="0" t="n">
        <f aca="false">COUNTIFS(S1_Extracted_pairs!$B$2:$B$28,$B13,S1_Extracted_pairs!$P$2:$P$28,"yes",S1_Extracted_pairs!$T$2:$T$28,"Glass")</f>
        <v>1</v>
      </c>
      <c r="E13" s="0" t="n">
        <f aca="false">COUNTIFS(S1_Extracted_pairs!$B$2:$B$28,$B13,S1_Extracted_pairs!$P$2:$P$28,"yes",S1_Extracted_pairs!$T$2:$T$28,"Glass",S1_Extracted_pairs!$R$2:$R$28,"&lt;1")</f>
        <v>0</v>
      </c>
    </row>
    <row r="14" customFormat="false" ht="15" hidden="false" customHeight="false" outlineLevel="0" collapsed="false">
      <c r="A14" s="0" t="s">
        <v>218</v>
      </c>
      <c r="B14" s="0" t="s">
        <v>46</v>
      </c>
      <c r="C14" s="0" t="n">
        <f aca="false">AVERAGEIFS(S1_Extracted_pairs!$S$2:$S$28,S1_Extracted_pairs!$B$2:$B$28,$B14,S1_Extracted_pairs!$P$2:$P$28,"yes",S1_Extracted_pairs!$T$2:$T$28,"Glass")</f>
        <v>0.567038180237828</v>
      </c>
      <c r="D14" s="0" t="n">
        <f aca="false">COUNTIFS(S1_Extracted_pairs!$B$2:$B$28,$B14,S1_Extracted_pairs!$P$2:$P$28,"yes",S1_Extracted_pairs!$T$2:$T$28,"Glass")</f>
        <v>1</v>
      </c>
      <c r="E14" s="0" t="n">
        <f aca="false">COUNTIFS(S1_Extracted_pairs!$B$2:$B$28,$B14,S1_Extracted_pairs!$P$2:$P$28,"yes",S1_Extracted_pairs!$T$2:$T$28,"Glass",S1_Extracted_pairs!$R$2:$R$28,"&lt;1")</f>
        <v>0</v>
      </c>
    </row>
    <row r="15" customFormat="false" ht="15" hidden="false" customHeight="false" outlineLevel="0" collapsed="false">
      <c r="A15" s="0" t="s">
        <v>218</v>
      </c>
      <c r="B15" s="0" t="s">
        <v>71</v>
      </c>
      <c r="C15" s="0" t="n">
        <f aca="false">AVERAGEIFS(S1_Extracted_pairs!$S$2:$S$28,S1_Extracted_pairs!$B$2:$B$28,$B15,S1_Extracted_pairs!$P$2:$P$28,"yes",S1_Extracted_pairs!$T$2:$T$28,"Glass")</f>
        <v>1.6522520332269</v>
      </c>
      <c r="D15" s="0" t="n">
        <f aca="false">COUNTIFS(S1_Extracted_pairs!$B$2:$B$28,$B15,S1_Extracted_pairs!$P$2:$P$28,"yes",S1_Extracted_pairs!$T$2:$T$28,"Glass")</f>
        <v>1</v>
      </c>
      <c r="E15" s="0" t="n">
        <f aca="false">COUNTIFS(S1_Extracted_pairs!$B$2:$B$28,$B15,S1_Extracted_pairs!$P$2:$P$28,"yes",S1_Extracted_pairs!$T$2:$T$28,"Glass",S1_Extracted_pairs!$R$2:$R$28,"&lt;1")</f>
        <v>0</v>
      </c>
    </row>
    <row r="16" customFormat="false" ht="15" hidden="false" customHeight="false" outlineLevel="0" collapsed="false">
      <c r="A16" s="0" t="s">
        <v>218</v>
      </c>
      <c r="B16" s="0" t="s">
        <v>130</v>
      </c>
      <c r="C16" s="0" t="n">
        <f aca="false">AVERAGEIFS(S1_Extracted_pairs!$S$2:$S$28,S1_Extracted_pairs!$B$2:$B$28,$B16,S1_Extracted_pairs!$P$2:$P$28,"yes",S1_Extracted_pairs!$T$2:$T$28,"Glass")</f>
        <v>0.838038534974407</v>
      </c>
      <c r="D16" s="0" t="n">
        <f aca="false">COUNTIFS(S1_Extracted_pairs!$B$2:$B$28,$B16,S1_Extracted_pairs!$P$2:$P$28,"yes",S1_Extracted_pairs!$T$2:$T$28,"Glass")</f>
        <v>1</v>
      </c>
      <c r="E16" s="0" t="n">
        <f aca="false">COUNTIFS(S1_Extracted_pairs!$B$2:$B$28,$B16,S1_Extracted_pairs!$P$2:$P$28,"yes",S1_Extracted_pairs!$T$2:$T$28,"Glass",S1_Extracted_pairs!$R$2:$R$28,"&lt;1")</f>
        <v>0</v>
      </c>
    </row>
    <row r="17" customFormat="false" ht="15" hidden="false" customHeight="false" outlineLevel="0" collapsed="false">
      <c r="A17" s="0" t="s">
        <v>218</v>
      </c>
      <c r="B17" s="0" t="s">
        <v>162</v>
      </c>
      <c r="C17" s="0" t="n">
        <f aca="false">AVERAGEIFS(S1_Extracted_pairs!$S$2:$S$28,S1_Extracted_pairs!$B$2:$B$28,$B17,S1_Extracted_pairs!$P$2:$P$28,"yes",S1_Extracted_pairs!$T$2:$T$28,"Glass")</f>
        <v>0.970241890830439</v>
      </c>
      <c r="D17" s="0" t="n">
        <f aca="false">COUNTIFS(S1_Extracted_pairs!$B$2:$B$28,$B17,S1_Extracted_pairs!$P$2:$P$28,"yes",S1_Extracted_pairs!$T$2:$T$28,"Glass")</f>
        <v>2</v>
      </c>
      <c r="E17" s="0" t="n">
        <f aca="false">COUNTIFS(S1_Extracted_pairs!$B$2:$B$28,$B17,S1_Extracted_pairs!$P$2:$P$28,"yes",S1_Extracted_pairs!$T$2:$T$28,"Glass",S1_Extracted_pairs!$R$2:$R$28,"&lt;1")</f>
        <v>0</v>
      </c>
    </row>
    <row r="18" customFormat="false" ht="15" hidden="false" customHeight="false" outlineLevel="0" collapsed="false">
      <c r="A18" s="0" t="s">
        <v>218</v>
      </c>
      <c r="B18" s="0" t="s">
        <v>175</v>
      </c>
      <c r="C18" s="0" t="n">
        <f aca="false">AVERAGEIFS(S1_Extracted_pairs!$S$2:$S$28,S1_Extracted_pairs!$B$2:$B$28,$B18,S1_Extracted_pairs!$P$2:$P$28,"yes",S1_Extracted_pairs!$T$2:$T$28,"Glass")</f>
        <v>4.067471543971</v>
      </c>
      <c r="D18" s="0" t="n">
        <f aca="false">COUNTIFS(S1_Extracted_pairs!$B$2:$B$28,$B18,S1_Extracted_pairs!$P$2:$P$28,"yes",S1_Extracted_pairs!$T$2:$T$28,"Glass")</f>
        <v>1</v>
      </c>
      <c r="E18" s="0" t="n">
        <f aca="false">COUNTIFS(S1_Extracted_pairs!$B$2:$B$28,$B18,S1_Extracted_pairs!$P$2:$P$28,"yes",S1_Extracted_pairs!$T$2:$T$28,"Glass",S1_Extracted_pairs!$R$2:$R$28,"&lt;1")</f>
        <v>0</v>
      </c>
    </row>
    <row r="19" customFormat="false" ht="15" hidden="false" customHeight="false" outlineLevel="0" collapsed="false">
      <c r="A19" s="0" t="s">
        <v>219</v>
      </c>
      <c r="B19" s="0" t="s">
        <v>130</v>
      </c>
      <c r="C19" s="0" t="n">
        <f aca="false">AVERAGEIFS(S1_Extracted_pairs!$S$2:$S$28,S1_Extracted_pairs!$B$2:$B$28,$B19,S1_Extracted_pairs!$P$2:$P$28,"yes",S1_Extracted_pairs!$T$2:$T$28,"Reusable glass")</f>
        <v>0.0532002786766201</v>
      </c>
      <c r="D19" s="0" t="n">
        <f aca="false">COUNTIFS(S1_Extracted_pairs!$B$2:$B$28,$B19,S1_Extracted_pairs!$P$2:$P$28,"yes",S1_Extracted_pairs!$T$2:$T$28,"Reusable glass")</f>
        <v>2</v>
      </c>
      <c r="E19" s="0" t="n">
        <f aca="false">COUNTIFS(S1_Extracted_pairs!$B$2:$B$28,$B19,S1_Extracted_pairs!$P$2:$P$28,"yes",S1_Extracted_pairs!$T$2:$T$28,"Reusable glass",S1_Extracted_pairs!$R$2:$R$28,"&lt;1")</f>
        <v>1</v>
      </c>
    </row>
    <row r="20" customFormat="false" ht="15" hidden="false" customHeight="false" outlineLevel="0" collapsed="false">
      <c r="A20" s="0" t="s">
        <v>219</v>
      </c>
      <c r="B20" s="0" t="s">
        <v>200</v>
      </c>
      <c r="C20" s="0" t="n">
        <f aca="false">AVERAGEIFS(S1_Extracted_pairs!$S$2:$S$28,S1_Extracted_pairs!$B$2:$B$28,$B20,S1_Extracted_pairs!$P$2:$P$28,"yes",S1_Extracted_pairs!$T$2:$T$28,"Reusable glass")</f>
        <v>-0.0669178826868303</v>
      </c>
      <c r="D20" s="0" t="n">
        <f aca="false">COUNTIFS(S1_Extracted_pairs!$B$2:$B$28,$B20,S1_Extracted_pairs!$P$2:$P$28,"yes",S1_Extracted_pairs!$T$2:$T$28,"Reusable glass")</f>
        <v>2</v>
      </c>
      <c r="E20" s="0" t="n">
        <f aca="false">COUNTIFS(S1_Extracted_pairs!$B$2:$B$28,$B20,S1_Extracted_pairs!$P$2:$P$28,"yes",S1_Extracted_pairs!$T$2:$T$28,"Reusable glass",S1_Extracted_pairs!$R$2:$R$28,"&lt;1")</f>
        <v>1</v>
      </c>
    </row>
    <row r="21" customFormat="false" ht="15" hidden="false" customHeight="false" outlineLevel="0" collapsed="false">
      <c r="A21" s="0" t="s">
        <v>220</v>
      </c>
      <c r="B21" s="0" t="s">
        <v>23</v>
      </c>
      <c r="C21" s="0" t="n">
        <f aca="false">AVERAGEIFS(S1_Extracted_pairs!$S$2:$S$28,S1_Extracted_pairs!$B$2:$B$28,$B21,S1_Extracted_pairs!$P$2:$P$28,"yes",S1_Extracted_pairs!$T$2:$T$28,"Aluminium")</f>
        <v>0.952008814476234</v>
      </c>
      <c r="D21" s="0" t="n">
        <f aca="false">COUNTIFS(S1_Extracted_pairs!$B$2:$B$28,$B21,S1_Extracted_pairs!$P$2:$P$28,"yes",S1_Extracted_pairs!$T$2:$T$28,"Aluminium")</f>
        <v>1</v>
      </c>
      <c r="E21" s="0" t="n">
        <f aca="false">COUNTIFS(S1_Extracted_pairs!$B$2:$B$28,$B21,S1_Extracted_pairs!$P$2:$P$28,"yes",S1_Extracted_pairs!$T$2:$T$28,"Aluminium",S1_Extracted_pairs!$R$2:$R$28,"&lt;1")</f>
        <v>0</v>
      </c>
    </row>
    <row r="22" customFormat="false" ht="15" hidden="false" customHeight="false" outlineLevel="0" collapsed="false">
      <c r="A22" s="0" t="s">
        <v>220</v>
      </c>
      <c r="B22" s="0" t="s">
        <v>57</v>
      </c>
      <c r="C22" s="0" t="n">
        <f aca="false">AVERAGEIFS(S1_Extracted_pairs!$S$2:$S$28,S1_Extracted_pairs!$B$2:$B$28,$B22,S1_Extracted_pairs!$P$2:$P$28,"yes",S1_Extracted_pairs!$T$2:$T$28,"Aluminium")</f>
        <v>1.34707364796661</v>
      </c>
      <c r="D22" s="0" t="n">
        <f aca="false">COUNTIFS(S1_Extracted_pairs!$B$2:$B$28,$B22,S1_Extracted_pairs!$P$2:$P$28,"yes",S1_Extracted_pairs!$T$2:$T$28,"Aluminium")</f>
        <v>1</v>
      </c>
      <c r="E22" s="0" t="n">
        <f aca="false">COUNTIFS(S1_Extracted_pairs!$B$2:$B$28,$B22,S1_Extracted_pairs!$P$2:$P$28,"yes",S1_Extracted_pairs!$T$2:$T$28,"Aluminium",S1_Extracted_pairs!$R$2:$R$28,"&lt;1")</f>
        <v>0</v>
      </c>
    </row>
    <row r="23" customFormat="false" ht="15" hidden="false" customHeight="false" outlineLevel="0" collapsed="false">
      <c r="A23" s="0" t="s">
        <v>220</v>
      </c>
      <c r="B23" s="0" t="s">
        <v>96</v>
      </c>
      <c r="C23" s="0" t="n">
        <f aca="false">AVERAGEIFS(S1_Extracted_pairs!$S$2:$S$28,S1_Extracted_pairs!$B$2:$B$28,$B23,S1_Extracted_pairs!$P$2:$P$28,"yes",S1_Extracted_pairs!$T$2:$T$28,"Aluminium")</f>
        <v>-0.405465108108164</v>
      </c>
      <c r="D23" s="0" t="n">
        <f aca="false">COUNTIFS(S1_Extracted_pairs!$B$2:$B$28,$B23,S1_Extracted_pairs!$P$2:$P$28,"yes",S1_Extracted_pairs!$T$2:$T$28,"Aluminium")</f>
        <v>1</v>
      </c>
      <c r="E23" s="0" t="n">
        <f aca="false">COUNTIFS(S1_Extracted_pairs!$B$2:$B$28,$B23,S1_Extracted_pairs!$P$2:$P$28,"yes",S1_Extracted_pairs!$T$2:$T$28,"Aluminium",S1_Extracted_pairs!$R$2:$R$28,"&lt;1")</f>
        <v>1</v>
      </c>
    </row>
    <row r="24" customFormat="false" ht="15" hidden="false" customHeight="false" outlineLevel="0" collapsed="false">
      <c r="A24" s="0" t="s">
        <v>220</v>
      </c>
      <c r="B24" s="0" t="s">
        <v>149</v>
      </c>
      <c r="C24" s="0" t="n">
        <f aca="false">AVERAGEIFS(S1_Extracted_pairs!$S$2:$S$28,S1_Extracted_pairs!$B$2:$B$28,$B24,S1_Extracted_pairs!$P$2:$P$28,"yes",S1_Extracted_pairs!$T$2:$T$28,"Aluminium")</f>
        <v>2.35988594683139</v>
      </c>
      <c r="D24" s="0" t="n">
        <f aca="false">COUNTIFS(S1_Extracted_pairs!$B$2:$B$28,$B24,S1_Extracted_pairs!$P$2:$P$28,"yes",S1_Extracted_pairs!$T$2:$T$28,"Aluminium")</f>
        <v>1</v>
      </c>
      <c r="E24" s="0" t="n">
        <f aca="false">COUNTIFS(S1_Extracted_pairs!$B$2:$B$28,$B24,S1_Extracted_pairs!$P$2:$P$28,"yes",S1_Extracted_pairs!$T$2:$T$28,"Aluminium",S1_Extracted_pairs!$R$2:$R$28,"&lt;1")</f>
        <v>0</v>
      </c>
    </row>
    <row r="25" customFormat="false" ht="15" hidden="false" customHeight="false" outlineLevel="0" collapsed="false">
      <c r="A25" s="0" t="s">
        <v>220</v>
      </c>
      <c r="B25" s="0" t="s">
        <v>162</v>
      </c>
      <c r="C25" s="0" t="n">
        <f aca="false">AVERAGEIFS(S1_Extracted_pairs!$S$2:$S$28,S1_Extracted_pairs!$B$2:$B$28,$B25,S1_Extracted_pairs!$P$2:$P$28,"yes",S1_Extracted_pairs!$T$2:$T$28,"Aluminium")</f>
        <v>0.394276964893487</v>
      </c>
      <c r="D25" s="0" t="n">
        <f aca="false">COUNTIFS(S1_Extracted_pairs!$B$2:$B$28,$B25,S1_Extracted_pairs!$P$2:$P$28,"yes",S1_Extracted_pairs!$T$2:$T$28,"Aluminium")</f>
        <v>2</v>
      </c>
      <c r="E25" s="0" t="n">
        <f aca="false">COUNTIFS(S1_Extracted_pairs!$B$2:$B$28,$B25,S1_Extracted_pairs!$P$2:$P$28,"yes",S1_Extracted_pairs!$T$2:$T$28,"Aluminium",S1_Extracted_pairs!$R$2:$R$28,"&lt;1")</f>
        <v>0</v>
      </c>
    </row>
    <row r="26" customFormat="false" ht="15" hidden="false" customHeight="false" outlineLevel="0" collapsed="false">
      <c r="A26" s="0" t="s">
        <v>220</v>
      </c>
      <c r="B26" s="0" t="s">
        <v>175</v>
      </c>
      <c r="C26" s="0" t="n">
        <f aca="false">AVERAGEIFS(S1_Extracted_pairs!$S$2:$S$28,S1_Extracted_pairs!$B$2:$B$28,$B26,S1_Extracted_pairs!$P$2:$P$28,"yes",S1_Extracted_pairs!$T$2:$T$28,"Aluminium")</f>
        <v>2.34703685556488</v>
      </c>
      <c r="D26" s="0" t="n">
        <f aca="false">COUNTIFS(S1_Extracted_pairs!$B$2:$B$28,$B26,S1_Extracted_pairs!$P$2:$P$28,"yes",S1_Extracted_pairs!$T$2:$T$28,"Aluminium")</f>
        <v>1</v>
      </c>
      <c r="E26" s="0" t="n">
        <f aca="false">COUNTIFS(S1_Extracted_pairs!$B$2:$B$28,$B26,S1_Extracted_pairs!$P$2:$P$28,"yes",S1_Extracted_pairs!$T$2:$T$28,"Aluminium",S1_Extracted_pairs!$R$2:$R$28,"&lt;1")</f>
        <v>0</v>
      </c>
    </row>
    <row r="27" customFormat="false" ht="15" hidden="false" customHeight="false" outlineLevel="0" collapsed="false">
      <c r="A27" s="0" t="s">
        <v>221</v>
      </c>
      <c r="B27" s="0" t="s">
        <v>23</v>
      </c>
      <c r="C27" s="0" t="n">
        <f aca="false">AVERAGEIFS(S1_Extracted_pairs!$S$2:$S$28,S1_Extracted_pairs!$B$2:$B$28,$B27,S1_Extracted_pairs!$P$2:$P$28,"yes",S1_Extracted_pairs!$T$2:$T$28,"Carton")</f>
        <v>-0.152468593644274</v>
      </c>
      <c r="D27" s="0" t="n">
        <f aca="false">COUNTIFS(S1_Extracted_pairs!$B$2:$B$28,$B27,S1_Extracted_pairs!$P$2:$P$28,"yes",S1_Extracted_pairs!$T$2:$T$28,"Carton")</f>
        <v>1</v>
      </c>
      <c r="E27" s="0" t="n">
        <f aca="false">COUNTIFS(S1_Extracted_pairs!$B$2:$B$28,$B27,S1_Extracted_pairs!$P$2:$P$28,"yes",S1_Extracted_pairs!$T$2:$T$28,"Carton",S1_Extracted_pairs!$R$2:$R$28,"&lt;1")</f>
        <v>1</v>
      </c>
    </row>
    <row r="28" customFormat="false" ht="15" hidden="false" customHeight="false" outlineLevel="0" collapsed="false">
      <c r="A28" s="0" t="s">
        <v>221</v>
      </c>
      <c r="B28" s="0" t="s">
        <v>80</v>
      </c>
      <c r="C28" s="0" t="n">
        <f aca="false">AVERAGEIFS(S1_Extracted_pairs!$S$2:$S$28,S1_Extracted_pairs!$B$2:$B$28,$B28,S1_Extracted_pairs!$P$2:$P$28,"yes",S1_Extracted_pairs!$T$2:$T$28,"Carton")</f>
        <v>-0.50657619851371</v>
      </c>
      <c r="D28" s="0" t="n">
        <f aca="false">COUNTIFS(S1_Extracted_pairs!$B$2:$B$28,$B28,S1_Extracted_pairs!$P$2:$P$28,"yes",S1_Extracted_pairs!$T$2:$T$28,"Carton")</f>
        <v>2</v>
      </c>
      <c r="E28" s="0" t="n">
        <f aca="false">COUNTIFS(S1_Extracted_pairs!$B$2:$B$28,$B28,S1_Extracted_pairs!$P$2:$P$28,"yes",S1_Extracted_pairs!$T$2:$T$28,"Carton",S1_Extracted_pairs!$R$2:$R$28,"&lt;1")</f>
        <v>2</v>
      </c>
    </row>
    <row r="29" customFormat="false" ht="15" hidden="false" customHeight="false" outlineLevel="0" collapsed="false">
      <c r="A29" s="0" t="s">
        <v>221</v>
      </c>
      <c r="B29" s="0" t="s">
        <v>149</v>
      </c>
      <c r="C29" s="0" t="n">
        <f aca="false">AVERAGEIFS(S1_Extracted_pairs!$S$2:$S$28,S1_Extracted_pairs!$B$2:$B$28,$B29,S1_Extracted_pairs!$P$2:$P$28,"yes",S1_Extracted_pairs!$T$2:$T$28,"Carton")</f>
        <v>0.370678992022749</v>
      </c>
      <c r="D29" s="0" t="n">
        <f aca="false">COUNTIFS(S1_Extracted_pairs!$B$2:$B$28,$B29,S1_Extracted_pairs!$P$2:$P$28,"yes",S1_Extracted_pairs!$T$2:$T$28,"Carton")</f>
        <v>1</v>
      </c>
      <c r="E29" s="0" t="n">
        <f aca="false">COUNTIFS(S1_Extracted_pairs!$B$2:$B$28,$B29,S1_Extracted_pairs!$P$2:$P$28,"yes",S1_Extracted_pairs!$T$2:$T$28,"Carton",S1_Extracted_pairs!$R$2:$R$28,"&lt;1")</f>
        <v>0</v>
      </c>
    </row>
    <row r="30" customFormat="false" ht="15" hidden="false" customHeight="false" outlineLevel="0" collapsed="false">
      <c r="A30" s="0" t="s">
        <v>222</v>
      </c>
      <c r="B30" s="0" t="s">
        <v>23</v>
      </c>
      <c r="C30" s="0" t="n">
        <f aca="false">AVERAGEIFS(S1_Extracted_pairs!$S$2:$S$28,S1_Extracted_pairs!$B$2:$B$28,$B30,S1_Extracted_pairs!$P$2:$P$28,"yes",S1_Extracted_pairs!$N$2:$N$28,"Academic*")</f>
        <v>0.783226130328257</v>
      </c>
      <c r="D30" s="0" t="n">
        <f aca="false">COUNTIFS(S1_Extracted_pairs!$B$2:$B$28,$B30,S1_Extracted_pairs!$P$2:$P$28,"yes",S1_Extracted_pairs!$N$2:$N$28,"Academic*")</f>
        <v>3</v>
      </c>
      <c r="E30" s="0" t="n">
        <f aca="false">COUNTIFS(S1_Extracted_pairs!$B$2:$B$28,$B30,S1_Extracted_pairs!$P$2:$P$28,"yes",S1_Extracted_pairs!$N$2:$N$28,"Academic*",S1_Extracted_pairs!$R$2:$R$28,"&lt;1")</f>
        <v>1</v>
      </c>
    </row>
    <row r="31" customFormat="false" ht="15" hidden="false" customHeight="false" outlineLevel="0" collapsed="false">
      <c r="A31" s="0" t="s">
        <v>222</v>
      </c>
      <c r="B31" s="0" t="s">
        <v>46</v>
      </c>
      <c r="C31" s="0" t="n">
        <f aca="false">AVERAGEIFS(S1_Extracted_pairs!$S$2:$S$28,S1_Extracted_pairs!$B$2:$B$28,$B31,S1_Extracted_pairs!$P$2:$P$28,"yes",S1_Extracted_pairs!$N$2:$N$28,"Academic*")</f>
        <v>0.567038180237828</v>
      </c>
      <c r="D31" s="0" t="n">
        <f aca="false">COUNTIFS(S1_Extracted_pairs!$B$2:$B$28,$B31,S1_Extracted_pairs!$P$2:$P$28,"yes",S1_Extracted_pairs!$N$2:$N$28,"Academic*")</f>
        <v>1</v>
      </c>
      <c r="E31" s="0" t="n">
        <f aca="false">COUNTIFS(S1_Extracted_pairs!$B$2:$B$28,$B31,S1_Extracted_pairs!$P$2:$P$28,"yes",S1_Extracted_pairs!$N$2:$N$28,"Academic*",S1_Extracted_pairs!$R$2:$R$28,"&lt;1")</f>
        <v>0</v>
      </c>
    </row>
    <row r="32" customFormat="false" ht="15" hidden="false" customHeight="false" outlineLevel="0" collapsed="false">
      <c r="A32" s="0" t="s">
        <v>222</v>
      </c>
      <c r="B32" s="0" t="s">
        <v>71</v>
      </c>
      <c r="C32" s="0" t="n">
        <f aca="false">AVERAGEIFS(S1_Extracted_pairs!$S$2:$S$28,S1_Extracted_pairs!$B$2:$B$28,$B32,S1_Extracted_pairs!$P$2:$P$28,"yes",S1_Extracted_pairs!$N$2:$N$28,"Academic*")</f>
        <v>1.6522520332269</v>
      </c>
      <c r="D32" s="0" t="n">
        <f aca="false">COUNTIFS(S1_Extracted_pairs!$B$2:$B$28,$B32,S1_Extracted_pairs!$P$2:$P$28,"yes",S1_Extracted_pairs!$N$2:$N$28,"Academic*")</f>
        <v>1</v>
      </c>
      <c r="E32" s="0" t="n">
        <f aca="false">COUNTIFS(S1_Extracted_pairs!$B$2:$B$28,$B32,S1_Extracted_pairs!$P$2:$P$28,"yes",S1_Extracted_pairs!$N$2:$N$28,"Academic*",S1_Extracted_pairs!$R$2:$R$28,"&lt;1")</f>
        <v>0</v>
      </c>
    </row>
    <row r="33" customFormat="false" ht="15" hidden="false" customHeight="false" outlineLevel="0" collapsed="false">
      <c r="A33" s="0" t="s">
        <v>222</v>
      </c>
      <c r="B33" s="0" t="s">
        <v>96</v>
      </c>
      <c r="C33" s="0" t="n">
        <f aca="false">AVERAGEIFS(S1_Extracted_pairs!$S$2:$S$28,S1_Extracted_pairs!$B$2:$B$28,$B33,S1_Extracted_pairs!$P$2:$P$28,"yes",S1_Extracted_pairs!$N$2:$N$28,"Academic*")</f>
        <v>-0.405465108108164</v>
      </c>
      <c r="D33" s="0" t="n">
        <f aca="false">COUNTIFS(S1_Extracted_pairs!$B$2:$B$28,$B33,S1_Extracted_pairs!$P$2:$P$28,"yes",S1_Extracted_pairs!$N$2:$N$28,"Academic*")</f>
        <v>1</v>
      </c>
      <c r="E33" s="0" t="n">
        <f aca="false">COUNTIFS(S1_Extracted_pairs!$B$2:$B$28,$B33,S1_Extracted_pairs!$P$2:$P$28,"yes",S1_Extracted_pairs!$N$2:$N$28,"Academic*",S1_Extracted_pairs!$R$2:$R$28,"&lt;1")</f>
        <v>1</v>
      </c>
    </row>
    <row r="34" customFormat="false" ht="15" hidden="false" customHeight="false" outlineLevel="0" collapsed="false">
      <c r="A34" s="0" t="s">
        <v>222</v>
      </c>
      <c r="B34" s="0" t="s">
        <v>130</v>
      </c>
      <c r="C34" s="0" t="n">
        <f aca="false">AVERAGEIFS(S1_Extracted_pairs!$S$2:$S$28,S1_Extracted_pairs!$B$2:$B$28,$B34,S1_Extracted_pairs!$P$2:$P$28,"yes",S1_Extracted_pairs!$N$2:$N$28,"Academic*")</f>
        <v>0.185643234865181</v>
      </c>
      <c r="D34" s="0" t="n">
        <f aca="false">COUNTIFS(S1_Extracted_pairs!$B$2:$B$28,$B34,S1_Extracted_pairs!$P$2:$P$28,"yes",S1_Extracted_pairs!$N$2:$N$28,"Academic*")</f>
        <v>4</v>
      </c>
      <c r="E34" s="0" t="n">
        <f aca="false">COUNTIFS(S1_Extracted_pairs!$B$2:$B$28,$B34,S1_Extracted_pairs!$P$2:$P$28,"yes",S1_Extracted_pairs!$N$2:$N$28,"Academic*",S1_Extracted_pairs!$R$2:$R$28,"&lt;1")</f>
        <v>2</v>
      </c>
    </row>
    <row r="35" customFormat="false" ht="15" hidden="false" customHeight="false" outlineLevel="0" collapsed="false">
      <c r="A35" s="0" t="s">
        <v>222</v>
      </c>
      <c r="B35" s="0" t="s">
        <v>149</v>
      </c>
      <c r="C35" s="0" t="n">
        <f aca="false">AVERAGEIFS(S1_Extracted_pairs!$S$2:$S$28,S1_Extracted_pairs!$B$2:$B$28,$B35,S1_Extracted_pairs!$P$2:$P$28,"yes",S1_Extracted_pairs!$N$2:$N$28,"Academic*")</f>
        <v>1.36528246942707</v>
      </c>
      <c r="D35" s="0" t="n">
        <f aca="false">COUNTIFS(S1_Extracted_pairs!$B$2:$B$28,$B35,S1_Extracted_pairs!$P$2:$P$28,"yes",S1_Extracted_pairs!$N$2:$N$28,"Academic*")</f>
        <v>2</v>
      </c>
      <c r="E35" s="0" t="n">
        <f aca="false">COUNTIFS(S1_Extracted_pairs!$B$2:$B$28,$B35,S1_Extracted_pairs!$P$2:$P$28,"yes",S1_Extracted_pairs!$N$2:$N$28,"Academic*",S1_Extracted_pairs!$R$2:$R$28,"&lt;1")</f>
        <v>0</v>
      </c>
    </row>
    <row r="36" customFormat="false" ht="15" hidden="false" customHeight="false" outlineLevel="0" collapsed="false">
      <c r="A36" s="0" t="s">
        <v>222</v>
      </c>
      <c r="B36" s="0" t="s">
        <v>162</v>
      </c>
      <c r="C36" s="0" t="n">
        <f aca="false">AVERAGEIFS(S1_Extracted_pairs!$S$2:$S$28,S1_Extracted_pairs!$B$2:$B$28,$B36,S1_Extracted_pairs!$P$2:$P$28,"yes",S1_Extracted_pairs!$N$2:$N$28,"Academic*")</f>
        <v>0.682259427861963</v>
      </c>
      <c r="D36" s="0" t="n">
        <f aca="false">COUNTIFS(S1_Extracted_pairs!$B$2:$B$28,$B36,S1_Extracted_pairs!$P$2:$P$28,"yes",S1_Extracted_pairs!$N$2:$N$28,"Academic*")</f>
        <v>4</v>
      </c>
      <c r="E36" s="0" t="n">
        <f aca="false">COUNTIFS(S1_Extracted_pairs!$B$2:$B$28,$B36,S1_Extracted_pairs!$P$2:$P$28,"yes",S1_Extracted_pairs!$N$2:$N$28,"Academic*",S1_Extracted_pairs!$R$2:$R$28,"&lt;1")</f>
        <v>0</v>
      </c>
    </row>
    <row r="37" customFormat="false" ht="15" hidden="false" customHeight="false" outlineLevel="0" collapsed="false">
      <c r="A37" s="0" t="s">
        <v>222</v>
      </c>
      <c r="B37" s="0" t="s">
        <v>175</v>
      </c>
      <c r="C37" s="0" t="n">
        <f aca="false">AVERAGEIFS(S1_Extracted_pairs!$S$2:$S$28,S1_Extracted_pairs!$B$2:$B$28,$B37,S1_Extracted_pairs!$P$2:$P$28,"yes",S1_Extracted_pairs!$N$2:$N$28,"Academic*")</f>
        <v>3.20725419976794</v>
      </c>
      <c r="D37" s="0" t="n">
        <f aca="false">COUNTIFS(S1_Extracted_pairs!$B$2:$B$28,$B37,S1_Extracted_pairs!$P$2:$P$28,"yes",S1_Extracted_pairs!$N$2:$N$28,"Academic*")</f>
        <v>2</v>
      </c>
      <c r="E37" s="0" t="n">
        <f aca="false">COUNTIFS(S1_Extracted_pairs!$B$2:$B$28,$B37,S1_Extracted_pairs!$P$2:$P$28,"yes",S1_Extracted_pairs!$N$2:$N$28,"Academic*",S1_Extracted_pairs!$R$2:$R$28,"&lt;1")</f>
        <v>0</v>
      </c>
    </row>
    <row r="38" customFormat="false" ht="15" hidden="false" customHeight="false" outlineLevel="0" collapsed="false">
      <c r="A38" s="0" t="s">
        <v>222</v>
      </c>
      <c r="B38" s="0" t="s">
        <v>200</v>
      </c>
      <c r="C38" s="0" t="n">
        <f aca="false">AVERAGEIFS(S1_Extracted_pairs!$S$2:$S$28,S1_Extracted_pairs!$B$2:$B$28,$B38,S1_Extracted_pairs!$P$2:$P$28,"yes",S1_Extracted_pairs!$N$2:$N$28,"Academic*")</f>
        <v>-0.0669178826868303</v>
      </c>
      <c r="D38" s="0" t="n">
        <f aca="false">COUNTIFS(S1_Extracted_pairs!$B$2:$B$28,$B38,S1_Extracted_pairs!$P$2:$P$28,"yes",S1_Extracted_pairs!$N$2:$N$28,"Academic*")</f>
        <v>2</v>
      </c>
      <c r="E38" s="0" t="n">
        <f aca="false">COUNTIFS(S1_Extracted_pairs!$B$2:$B$28,$B38,S1_Extracted_pairs!$P$2:$P$28,"yes",S1_Extracted_pairs!$N$2:$N$28,"Academic*",S1_Extracted_pairs!$R$2:$R$28,"&lt;1")</f>
        <v>1</v>
      </c>
    </row>
    <row r="39" customFormat="false" ht="15" hidden="false" customHeight="false" outlineLevel="0" collapsed="false">
      <c r="A39" s="0" t="s">
        <v>223</v>
      </c>
      <c r="B39" s="0" t="s">
        <v>23</v>
      </c>
      <c r="C39" s="0" t="n">
        <f aca="false">AVERAGEIFS(S1_Extracted_pairs!$S$2:$S$28,S1_Extracted_pairs!$B$2:$B$28,$B39,S1_Extracted_pairs!$P$2:$P$28,"yes")</f>
        <v>0.783226130328257</v>
      </c>
      <c r="D39" s="0" t="n">
        <f aca="false">COUNTIFS(S1_Extracted_pairs!$B$2:$B$28,$B39,S1_Extracted_pairs!$P$2:$P$28,"yes")</f>
        <v>3</v>
      </c>
      <c r="E39" s="0" t="n">
        <f aca="false">COUNTIFS(S1_Extracted_pairs!$B$2:$B$28,$B39,S1_Extracted_pairs!$P$2:$P$28,"yes",S1_Extracted_pairs!$R$2:$R$28,"&lt;1")</f>
        <v>1</v>
      </c>
    </row>
    <row r="40" customFormat="false" ht="15" hidden="false" customHeight="false" outlineLevel="0" collapsed="false">
      <c r="A40" s="0" t="s">
        <v>223</v>
      </c>
      <c r="B40" s="0" t="s">
        <v>46</v>
      </c>
      <c r="C40" s="0" t="n">
        <f aca="false">AVERAGEIFS(S1_Extracted_pairs!$S$2:$S$28,S1_Extracted_pairs!$B$2:$B$28,$B40,S1_Extracted_pairs!$P$2:$P$28,"yes")</f>
        <v>0.567038180237828</v>
      </c>
      <c r="D40" s="0" t="n">
        <f aca="false">COUNTIFS(S1_Extracted_pairs!$B$2:$B$28,$B40,S1_Extracted_pairs!$P$2:$P$28,"yes")</f>
        <v>1</v>
      </c>
      <c r="E40" s="0" t="n">
        <f aca="false">COUNTIFS(S1_Extracted_pairs!$B$2:$B$28,$B40,S1_Extracted_pairs!$P$2:$P$28,"yes",S1_Extracted_pairs!$R$2:$R$28,"&lt;1")</f>
        <v>0</v>
      </c>
    </row>
    <row r="41" customFormat="false" ht="15" hidden="false" customHeight="false" outlineLevel="0" collapsed="false">
      <c r="A41" s="0" t="s">
        <v>223</v>
      </c>
      <c r="B41" s="0" t="s">
        <v>57</v>
      </c>
      <c r="C41" s="0" t="n">
        <f aca="false">AVERAGEIFS(S1_Extracted_pairs!$S$2:$S$28,S1_Extracted_pairs!$B$2:$B$28,$B41,S1_Extracted_pairs!$P$2:$P$28,"yes")</f>
        <v>1.34707364796661</v>
      </c>
      <c r="D41" s="0" t="n">
        <f aca="false">COUNTIFS(S1_Extracted_pairs!$B$2:$B$28,$B41,S1_Extracted_pairs!$P$2:$P$28,"yes")</f>
        <v>1</v>
      </c>
      <c r="E41" s="0" t="n">
        <f aca="false">COUNTIFS(S1_Extracted_pairs!$B$2:$B$28,$B41,S1_Extracted_pairs!$P$2:$P$28,"yes",S1_Extracted_pairs!$R$2:$R$28,"&lt;1")</f>
        <v>0</v>
      </c>
    </row>
    <row r="42" customFormat="false" ht="15" hidden="false" customHeight="false" outlineLevel="0" collapsed="false">
      <c r="A42" s="0" t="s">
        <v>223</v>
      </c>
      <c r="B42" s="0" t="s">
        <v>71</v>
      </c>
      <c r="C42" s="0" t="n">
        <f aca="false">AVERAGEIFS(S1_Extracted_pairs!$S$2:$S$28,S1_Extracted_pairs!$B$2:$B$28,$B42,S1_Extracted_pairs!$P$2:$P$28,"yes")</f>
        <v>1.6522520332269</v>
      </c>
      <c r="D42" s="0" t="n">
        <f aca="false">COUNTIFS(S1_Extracted_pairs!$B$2:$B$28,$B42,S1_Extracted_pairs!$P$2:$P$28,"yes")</f>
        <v>1</v>
      </c>
      <c r="E42" s="0" t="n">
        <f aca="false">COUNTIFS(S1_Extracted_pairs!$B$2:$B$28,$B42,S1_Extracted_pairs!$P$2:$P$28,"yes",S1_Extracted_pairs!$R$2:$R$28,"&lt;1")</f>
        <v>0</v>
      </c>
    </row>
    <row r="43" customFormat="false" ht="15" hidden="false" customHeight="false" outlineLevel="0" collapsed="false">
      <c r="A43" s="0" t="s">
        <v>223</v>
      </c>
      <c r="B43" s="0" t="s">
        <v>80</v>
      </c>
      <c r="C43" s="0" t="n">
        <f aca="false">AVERAGEIFS(S1_Extracted_pairs!$S$2:$S$28,S1_Extracted_pairs!$B$2:$B$28,$B43,S1_Extracted_pairs!$P$2:$P$28,"yes")</f>
        <v>-0.50657619851371</v>
      </c>
      <c r="D43" s="0" t="n">
        <f aca="false">COUNTIFS(S1_Extracted_pairs!$B$2:$B$28,$B43,S1_Extracted_pairs!$P$2:$P$28,"yes")</f>
        <v>2</v>
      </c>
      <c r="E43" s="0" t="n">
        <f aca="false">COUNTIFS(S1_Extracted_pairs!$B$2:$B$28,$B43,S1_Extracted_pairs!$P$2:$P$28,"yes",S1_Extracted_pairs!$R$2:$R$28,"&lt;1")</f>
        <v>2</v>
      </c>
    </row>
    <row r="44" customFormat="false" ht="15" hidden="false" customHeight="false" outlineLevel="0" collapsed="false">
      <c r="A44" s="0" t="s">
        <v>223</v>
      </c>
      <c r="B44" s="0" t="s">
        <v>96</v>
      </c>
      <c r="C44" s="0" t="n">
        <f aca="false">AVERAGEIFS(S1_Extracted_pairs!$S$2:$S$28,S1_Extracted_pairs!$B$2:$B$28,$B44,S1_Extracted_pairs!$P$2:$P$28,"yes")</f>
        <v>-0.405465108108164</v>
      </c>
      <c r="D44" s="0" t="n">
        <f aca="false">COUNTIFS(S1_Extracted_pairs!$B$2:$B$28,$B44,S1_Extracted_pairs!$P$2:$P$28,"yes")</f>
        <v>1</v>
      </c>
      <c r="E44" s="0" t="n">
        <f aca="false">COUNTIFS(S1_Extracted_pairs!$B$2:$B$28,$B44,S1_Extracted_pairs!$P$2:$P$28,"yes",S1_Extracted_pairs!$R$2:$R$28,"&lt;1")</f>
        <v>1</v>
      </c>
    </row>
    <row r="45" customFormat="false" ht="15" hidden="false" customHeight="false" outlineLevel="0" collapsed="false">
      <c r="A45" s="0" t="s">
        <v>223</v>
      </c>
      <c r="B45" s="0" t="s">
        <v>130</v>
      </c>
      <c r="C45" s="0" t="n">
        <f aca="false">AVERAGEIFS(S1_Extracted_pairs!$S$2:$S$28,S1_Extracted_pairs!$B$2:$B$28,$B45,S1_Extracted_pairs!$P$2:$P$28,"yes")</f>
        <v>0.185643234865181</v>
      </c>
      <c r="D45" s="0" t="n">
        <f aca="false">COUNTIFS(S1_Extracted_pairs!$B$2:$B$28,$B45,S1_Extracted_pairs!$P$2:$P$28,"yes")</f>
        <v>4</v>
      </c>
      <c r="E45" s="0" t="n">
        <f aca="false">COUNTIFS(S1_Extracted_pairs!$B$2:$B$28,$B45,S1_Extracted_pairs!$P$2:$P$28,"yes",S1_Extracted_pairs!$R$2:$R$28,"&lt;1")</f>
        <v>2</v>
      </c>
    </row>
    <row r="46" customFormat="false" ht="15" hidden="false" customHeight="false" outlineLevel="0" collapsed="false">
      <c r="A46" s="0" t="s">
        <v>223</v>
      </c>
      <c r="B46" s="0" t="s">
        <v>149</v>
      </c>
      <c r="C46" s="0" t="n">
        <f aca="false">AVERAGEIFS(S1_Extracted_pairs!$S$2:$S$28,S1_Extracted_pairs!$B$2:$B$28,$B46,S1_Extracted_pairs!$P$2:$P$28,"yes")</f>
        <v>1.36528246942707</v>
      </c>
      <c r="D46" s="0" t="n">
        <f aca="false">COUNTIFS(S1_Extracted_pairs!$B$2:$B$28,$B46,S1_Extracted_pairs!$P$2:$P$28,"yes")</f>
        <v>2</v>
      </c>
      <c r="E46" s="0" t="n">
        <f aca="false">COUNTIFS(S1_Extracted_pairs!$B$2:$B$28,$B46,S1_Extracted_pairs!$P$2:$P$28,"yes",S1_Extracted_pairs!$R$2:$R$28,"&lt;1")</f>
        <v>0</v>
      </c>
    </row>
    <row r="47" customFormat="false" ht="15" hidden="false" customHeight="false" outlineLevel="0" collapsed="false">
      <c r="A47" s="0" t="s">
        <v>223</v>
      </c>
      <c r="B47" s="0" t="s">
        <v>162</v>
      </c>
      <c r="C47" s="0" t="n">
        <f aca="false">AVERAGEIFS(S1_Extracted_pairs!$S$2:$S$28,S1_Extracted_pairs!$B$2:$B$28,$B47,S1_Extracted_pairs!$P$2:$P$28,"yes")</f>
        <v>0.682259427861963</v>
      </c>
      <c r="D47" s="0" t="n">
        <f aca="false">COUNTIFS(S1_Extracted_pairs!$B$2:$B$28,$B47,S1_Extracted_pairs!$P$2:$P$28,"yes")</f>
        <v>4</v>
      </c>
      <c r="E47" s="0" t="n">
        <f aca="false">COUNTIFS(S1_Extracted_pairs!$B$2:$B$28,$B47,S1_Extracted_pairs!$P$2:$P$28,"yes",S1_Extracted_pairs!$R$2:$R$28,"&lt;1")</f>
        <v>0</v>
      </c>
    </row>
    <row r="48" customFormat="false" ht="15" hidden="false" customHeight="false" outlineLevel="0" collapsed="false">
      <c r="A48" s="0" t="s">
        <v>223</v>
      </c>
      <c r="B48" s="0" t="s">
        <v>200</v>
      </c>
      <c r="C48" s="0" t="n">
        <f aca="false">AVERAGEIFS(S1_Extracted_pairs!$S$2:$S$28,S1_Extracted_pairs!$B$2:$B$28,$B48,S1_Extracted_pairs!$P$2:$P$28,"yes")</f>
        <v>-0.0669178826868303</v>
      </c>
      <c r="D48" s="0" t="n">
        <f aca="false">COUNTIFS(S1_Extracted_pairs!$B$2:$B$28,$B48,S1_Extracted_pairs!$P$2:$P$28,"yes")</f>
        <v>2</v>
      </c>
      <c r="E48" s="0" t="n">
        <f aca="false">COUNTIFS(S1_Extracted_pairs!$B$2:$B$28,$B48,S1_Extracted_pairs!$P$2:$P$28,"yes",S1_Extracted_pairs!$R$2:$R$28,"&lt;1")</f>
        <v>1</v>
      </c>
    </row>
    <row r="49" customFormat="false" ht="15" hidden="false" customHeight="false" outlineLevel="0" collapsed="false">
      <c r="A49" s="0" t="s">
        <v>224</v>
      </c>
      <c r="B49" s="0" t="s">
        <v>57</v>
      </c>
      <c r="C49" s="0" t="n">
        <f aca="false">AVERAGEIFS(S1_Extracted_pairs!$S$2:$S$28,S1_Extracted_pairs!$B$2:$B$28,$B49,S1_Extracted_pairs!$P$2:$P$28,"yes",S1_Extracted_pairs!$N$2:$N$28,"Industry*")</f>
        <v>1.34707364796661</v>
      </c>
      <c r="D49" s="0" t="n">
        <f aca="false">COUNTIFS(S1_Extracted_pairs!$B$2:$B$28,$B49,S1_Extracted_pairs!$P$2:$P$28,"yes",S1_Extracted_pairs!$N$2:$N$28,"Industry*")</f>
        <v>1</v>
      </c>
      <c r="E49" s="0" t="n">
        <f aca="false">COUNTIFS(S1_Extracted_pairs!$B$2:$B$28,$B49,S1_Extracted_pairs!$P$2:$P$28,"yes",S1_Extracted_pairs!$N$2:$N$28,"Industry*",S1_Extracted_pairs!$R$2:$R$28,"&lt;1")</f>
        <v>0</v>
      </c>
    </row>
    <row r="50" customFormat="false" ht="15" hidden="false" customHeight="false" outlineLevel="0" collapsed="false">
      <c r="A50" s="0" t="s">
        <v>224</v>
      </c>
      <c r="B50" s="0" t="s">
        <v>80</v>
      </c>
      <c r="C50" s="0" t="n">
        <f aca="false">AVERAGEIFS(S1_Extracted_pairs!$S$2:$S$28,S1_Extracted_pairs!$B$2:$B$28,$B50,S1_Extracted_pairs!$P$2:$P$28,"yes",S1_Extracted_pairs!$N$2:$N$28,"Industry*")</f>
        <v>-0.50657619851371</v>
      </c>
      <c r="D50" s="0" t="n">
        <f aca="false">COUNTIFS(S1_Extracted_pairs!$B$2:$B$28,$B50,S1_Extracted_pairs!$P$2:$P$28,"yes",S1_Extracted_pairs!$N$2:$N$28,"Industry*")</f>
        <v>2</v>
      </c>
      <c r="E50" s="0" t="n">
        <f aca="false">COUNTIFS(S1_Extracted_pairs!$B$2:$B$28,$B50,S1_Extracted_pairs!$P$2:$P$28,"yes",S1_Extracted_pairs!$N$2:$N$28,"Industry*",S1_Extracted_pairs!$R$2:$R$28,"&lt;1")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5" min="2" style="0" width="10"/>
    <col collapsed="false" customWidth="true" hidden="false" outlineLevel="0" max="6" min="6" style="0" width="12"/>
    <col collapsed="false" customWidth="true" hidden="false" outlineLevel="0" max="7" min="7" style="0" width="29"/>
    <col collapsed="false" customWidth="true" hidden="false" outlineLevel="0" max="8" min="8" style="0" width="45"/>
  </cols>
  <sheetData>
    <row r="1" customFormat="false" ht="15" hidden="false" customHeight="false" outlineLevel="0" collapsed="false">
      <c r="A1" s="0" t="s">
        <v>230</v>
      </c>
      <c r="B1" s="0" t="s">
        <v>231</v>
      </c>
      <c r="C1" s="0" t="s">
        <v>232</v>
      </c>
      <c r="D1" s="0" t="s">
        <v>233</v>
      </c>
      <c r="E1" s="0" t="s">
        <v>234</v>
      </c>
      <c r="F1" s="0" t="s">
        <v>11</v>
      </c>
      <c r="G1" s="0" t="s">
        <v>235</v>
      </c>
      <c r="H1" s="0" t="s">
        <v>236</v>
      </c>
    </row>
    <row r="2" customFormat="false" ht="15" hidden="false" customHeight="false" outlineLevel="0" collapsed="false">
      <c r="A2" s="0" t="s">
        <v>237</v>
      </c>
      <c r="B2" s="0" t="s">
        <v>238</v>
      </c>
      <c r="C2" s="0" t="n">
        <v>15.1</v>
      </c>
      <c r="D2" s="0" t="n">
        <v>15.1</v>
      </c>
      <c r="E2" s="0" t="n">
        <v>19.6</v>
      </c>
      <c r="F2" s="0" t="s">
        <v>239</v>
      </c>
      <c r="G2" s="0" t="s">
        <v>240</v>
      </c>
      <c r="H2" s="0" t="s">
        <v>241</v>
      </c>
    </row>
    <row r="3" customFormat="false" ht="15" hidden="false" customHeight="false" outlineLevel="0" collapsed="false">
      <c r="A3" s="0" t="s">
        <v>242</v>
      </c>
      <c r="B3" s="0" t="s">
        <v>243</v>
      </c>
      <c r="C3" s="0" t="n">
        <v>0.52</v>
      </c>
      <c r="D3" s="0" t="n">
        <v>0.52</v>
      </c>
      <c r="E3" s="0" t="n">
        <v>1</v>
      </c>
      <c r="F3" s="0" t="s">
        <v>239</v>
      </c>
      <c r="G3" s="0" t="s">
        <v>244</v>
      </c>
      <c r="H3" s="0" t="s">
        <v>245</v>
      </c>
    </row>
    <row r="4" customFormat="false" ht="15" hidden="false" customHeight="false" outlineLevel="0" collapsed="false">
      <c r="A4" s="0" t="s">
        <v>246</v>
      </c>
      <c r="B4" s="0" t="s">
        <v>247</v>
      </c>
      <c r="C4" s="0" t="n">
        <v>0.9</v>
      </c>
      <c r="D4" s="0" t="n">
        <v>0.98</v>
      </c>
      <c r="E4" s="0" t="n">
        <v>0.98</v>
      </c>
      <c r="F4" s="0" t="s">
        <v>248</v>
      </c>
      <c r="G4" s="0" t="s">
        <v>240</v>
      </c>
      <c r="H4" s="0" t="s">
        <v>249</v>
      </c>
    </row>
    <row r="5" customFormat="false" ht="15" hidden="false" customHeight="false" outlineLevel="0" collapsed="false">
      <c r="A5" s="0" t="s">
        <v>250</v>
      </c>
      <c r="B5" s="0" t="s">
        <v>251</v>
      </c>
      <c r="C5" s="0" t="n">
        <v>0.5</v>
      </c>
      <c r="D5" s="0" t="n">
        <v>1</v>
      </c>
      <c r="E5" s="0" t="n">
        <v>2</v>
      </c>
      <c r="F5" s="0" t="s">
        <v>239</v>
      </c>
      <c r="G5" s="0" t="s">
        <v>252</v>
      </c>
      <c r="H5" s="0" t="s">
        <v>253</v>
      </c>
    </row>
    <row r="6" customFormat="false" ht="15" hidden="false" customHeight="false" outlineLevel="0" collapsed="false">
      <c r="A6" s="0" t="s">
        <v>254</v>
      </c>
      <c r="B6" s="0" t="s">
        <v>255</v>
      </c>
      <c r="C6" s="0" t="n">
        <v>1</v>
      </c>
      <c r="D6" s="0" t="n">
        <v>1.1</v>
      </c>
      <c r="E6" s="0" t="n">
        <v>1.5</v>
      </c>
      <c r="F6" s="0" t="s">
        <v>239</v>
      </c>
      <c r="G6" s="0" t="s">
        <v>256</v>
      </c>
      <c r="H6" s="0" t="s">
        <v>257</v>
      </c>
    </row>
    <row r="7" customFormat="false" ht="15" hidden="false" customHeight="false" outlineLevel="0" collapsed="false">
      <c r="A7" s="0" t="s">
        <v>258</v>
      </c>
      <c r="B7" s="0" t="s">
        <v>259</v>
      </c>
      <c r="C7" s="0" t="n">
        <v>0.58</v>
      </c>
      <c r="D7" s="0" t="n">
        <v>0.58</v>
      </c>
      <c r="E7" s="0" t="n">
        <v>0.67</v>
      </c>
      <c r="F7" s="0" t="s">
        <v>239</v>
      </c>
      <c r="G7" s="0" t="s">
        <v>240</v>
      </c>
      <c r="H7" s="0" t="s">
        <v>260</v>
      </c>
    </row>
    <row r="8" customFormat="false" ht="15" hidden="false" customHeight="false" outlineLevel="0" collapsed="false">
      <c r="A8" s="0" t="s">
        <v>261</v>
      </c>
      <c r="B8" s="0" t="s">
        <v>262</v>
      </c>
      <c r="C8" s="0" t="n">
        <v>0.9</v>
      </c>
      <c r="D8" s="0" t="n">
        <v>0.9</v>
      </c>
      <c r="E8" s="0" t="n">
        <v>0.9</v>
      </c>
      <c r="F8" s="0" t="s">
        <v>248</v>
      </c>
      <c r="G8" s="0" t="s">
        <v>240</v>
      </c>
      <c r="H8" s="0" t="s">
        <v>263</v>
      </c>
    </row>
    <row r="9" customFormat="false" ht="15" hidden="false" customHeight="false" outlineLevel="0" collapsed="false">
      <c r="A9" s="0" t="s">
        <v>264</v>
      </c>
      <c r="B9" s="0" t="s">
        <v>265</v>
      </c>
      <c r="C9" s="0" t="n">
        <v>2.2</v>
      </c>
      <c r="D9" s="0" t="n">
        <v>2.8</v>
      </c>
      <c r="E9" s="0" t="n">
        <v>3.4</v>
      </c>
      <c r="F9" s="0" t="s">
        <v>239</v>
      </c>
      <c r="G9" s="0" t="s">
        <v>266</v>
      </c>
      <c r="H9" s="0" t="s">
        <v>267</v>
      </c>
    </row>
    <row r="10" customFormat="false" ht="15" hidden="false" customHeight="false" outlineLevel="0" collapsed="false">
      <c r="A10" s="0" t="s">
        <v>268</v>
      </c>
      <c r="B10" s="0" t="s">
        <v>269</v>
      </c>
      <c r="C10" s="0" t="n">
        <v>1</v>
      </c>
      <c r="D10" s="0" t="n">
        <v>1.4</v>
      </c>
      <c r="E10" s="0" t="n">
        <v>1.8</v>
      </c>
      <c r="F10" s="0" t="s">
        <v>239</v>
      </c>
      <c r="G10" s="0" t="s">
        <v>270</v>
      </c>
      <c r="H10" s="0" t="s">
        <v>271</v>
      </c>
    </row>
    <row r="11" customFormat="false" ht="15" hidden="false" customHeight="false" outlineLevel="0" collapsed="false">
      <c r="A11" s="0" t="s">
        <v>272</v>
      </c>
      <c r="B11" s="0" t="s">
        <v>273</v>
      </c>
      <c r="C11" s="0" t="n">
        <v>0.85</v>
      </c>
      <c r="D11" s="0" t="n">
        <v>0.85</v>
      </c>
      <c r="E11" s="0" t="n">
        <v>0.85</v>
      </c>
      <c r="F11" s="0" t="s">
        <v>248</v>
      </c>
      <c r="G11" s="0" t="s">
        <v>240</v>
      </c>
      <c r="H11" s="0" t="s">
        <v>263</v>
      </c>
    </row>
    <row r="12" customFormat="false" ht="15" hidden="false" customHeight="false" outlineLevel="0" collapsed="false">
      <c r="A12" s="0" t="s">
        <v>274</v>
      </c>
      <c r="B12" s="0" t="s">
        <v>275</v>
      </c>
      <c r="C12" s="0" t="n">
        <v>0.3</v>
      </c>
      <c r="D12" s="0" t="n">
        <v>0.5</v>
      </c>
      <c r="E12" s="0" t="n">
        <v>1</v>
      </c>
      <c r="F12" s="0" t="s">
        <v>248</v>
      </c>
      <c r="G12" s="0" t="s">
        <v>252</v>
      </c>
      <c r="H12" s="0" t="s">
        <v>276</v>
      </c>
    </row>
    <row r="13" customFormat="false" ht="15" hidden="false" customHeight="false" outlineLevel="0" collapsed="false">
      <c r="A13" s="0" t="s">
        <v>277</v>
      </c>
      <c r="B13" s="0" t="s">
        <v>278</v>
      </c>
      <c r="C13" s="0" t="n">
        <v>0.2</v>
      </c>
      <c r="D13" s="0" t="n">
        <v>0.5</v>
      </c>
      <c r="E13" s="0" t="n">
        <v>1</v>
      </c>
      <c r="F13" s="0" t="s">
        <v>239</v>
      </c>
      <c r="G13" s="0" t="s">
        <v>252</v>
      </c>
      <c r="H13" s="0" t="s">
        <v>253</v>
      </c>
    </row>
    <row r="14" customFormat="false" ht="15" hidden="false" customHeight="false" outlineLevel="0" collapsed="false">
      <c r="A14" s="0" t="s">
        <v>279</v>
      </c>
      <c r="B14" s="0" t="s">
        <v>280</v>
      </c>
      <c r="C14" s="0" t="n">
        <v>2.29</v>
      </c>
      <c r="D14" s="0" t="n">
        <v>2.29</v>
      </c>
      <c r="E14" s="0" t="n">
        <v>2.29</v>
      </c>
      <c r="F14" s="0" t="s">
        <v>281</v>
      </c>
      <c r="G14" s="0" t="s">
        <v>282</v>
      </c>
      <c r="H14" s="0" t="s">
        <v>283</v>
      </c>
    </row>
    <row r="15" customFormat="false" ht="15" hidden="false" customHeight="false" outlineLevel="0" collapsed="false">
      <c r="A15" s="0" t="s">
        <v>284</v>
      </c>
      <c r="B15" s="0" t="s">
        <v>285</v>
      </c>
      <c r="C15" s="0" t="n">
        <v>0.1</v>
      </c>
      <c r="D15" s="0" t="n">
        <v>0.5</v>
      </c>
      <c r="E15" s="0" t="n">
        <v>0.8</v>
      </c>
      <c r="F15" s="0" t="s">
        <v>248</v>
      </c>
      <c r="G15" s="0" t="s">
        <v>252</v>
      </c>
      <c r="H15" s="0" t="s">
        <v>286</v>
      </c>
    </row>
    <row r="16" customFormat="false" ht="15" hidden="false" customHeight="false" outlineLevel="0" collapsed="false">
      <c r="A16" s="0" t="s">
        <v>287</v>
      </c>
      <c r="B16" s="0" t="s">
        <v>288</v>
      </c>
      <c r="C16" s="0" t="n">
        <v>0</v>
      </c>
      <c r="D16" s="0" t="n">
        <v>0</v>
      </c>
      <c r="E16" s="0" t="n">
        <v>0</v>
      </c>
      <c r="F16" s="0" t="s">
        <v>248</v>
      </c>
      <c r="G16" s="0" t="s">
        <v>252</v>
      </c>
      <c r="H16" s="0" t="s">
        <v>289</v>
      </c>
    </row>
    <row r="17" customFormat="false" ht="15" hidden="false" customHeight="false" outlineLevel="0" collapsed="false">
      <c r="A17" s="0" t="s">
        <v>290</v>
      </c>
      <c r="B17" s="0" t="s">
        <v>291</v>
      </c>
      <c r="C17" s="0" t="n">
        <v>0.07</v>
      </c>
      <c r="D17" s="0" t="n">
        <v>0.15</v>
      </c>
      <c r="E17" s="0" t="n">
        <v>0.2</v>
      </c>
      <c r="F17" s="0" t="s">
        <v>292</v>
      </c>
      <c r="G17" s="0" t="s">
        <v>252</v>
      </c>
      <c r="H17" s="0" t="s">
        <v>253</v>
      </c>
    </row>
    <row r="18" customFormat="false" ht="15" hidden="false" customHeight="false" outlineLevel="0" collapsed="false">
      <c r="A18" s="0" t="s">
        <v>293</v>
      </c>
      <c r="B18" s="0" t="s">
        <v>294</v>
      </c>
      <c r="C18" s="0" t="s">
        <v>295</v>
      </c>
      <c r="F18" s="0" t="s">
        <v>296</v>
      </c>
      <c r="G18" s="0" t="s">
        <v>240</v>
      </c>
      <c r="H18" s="0" t="s">
        <v>297</v>
      </c>
    </row>
    <row r="19" customFormat="false" ht="15" hidden="false" customHeight="false" outlineLevel="0" collapsed="false">
      <c r="A19" s="0" t="s">
        <v>298</v>
      </c>
      <c r="B19" s="0" t="s">
        <v>299</v>
      </c>
      <c r="C19" s="0" t="n">
        <v>29.84</v>
      </c>
      <c r="D19" s="0" t="n">
        <v>29.84</v>
      </c>
      <c r="E19" s="0" t="n">
        <v>29.84</v>
      </c>
      <c r="F19" s="0" t="s">
        <v>300</v>
      </c>
      <c r="G19" s="0" t="s">
        <v>240</v>
      </c>
      <c r="H19" s="0" t="s">
        <v>301</v>
      </c>
    </row>
    <row r="20" customFormat="false" ht="15" hidden="false" customHeight="false" outlineLevel="0" collapsed="false">
      <c r="A20" s="0" t="s">
        <v>302</v>
      </c>
      <c r="B20" s="0" t="s">
        <v>303</v>
      </c>
      <c r="C20" s="0" t="n">
        <v>39.7</v>
      </c>
      <c r="D20" s="0" t="n">
        <v>39.7</v>
      </c>
      <c r="E20" s="0" t="n">
        <v>39.7</v>
      </c>
      <c r="F20" s="0" t="s">
        <v>300</v>
      </c>
      <c r="G20" s="0" t="s">
        <v>240</v>
      </c>
      <c r="H20" s="0" t="s">
        <v>304</v>
      </c>
    </row>
    <row r="21" customFormat="false" ht="15" hidden="false" customHeight="false" outlineLevel="0" collapsed="false">
      <c r="A21" s="0" t="s">
        <v>305</v>
      </c>
      <c r="B21" s="0" t="s">
        <v>306</v>
      </c>
      <c r="C21" s="0" t="n">
        <v>788</v>
      </c>
      <c r="D21" s="0" t="n">
        <v>788</v>
      </c>
      <c r="E21" s="0" t="n">
        <v>788</v>
      </c>
      <c r="F21" s="0" t="s">
        <v>300</v>
      </c>
      <c r="G21" s="0" t="s">
        <v>240</v>
      </c>
      <c r="H21" s="0" t="s">
        <v>307</v>
      </c>
    </row>
    <row r="22" customFormat="false" ht="15" hidden="false" customHeight="false" outlineLevel="0" collapsed="false">
      <c r="A22" s="0" t="s">
        <v>308</v>
      </c>
      <c r="B22" s="0" t="s">
        <v>309</v>
      </c>
      <c r="C22" s="0" t="n">
        <v>0.483</v>
      </c>
      <c r="D22" s="0" t="n">
        <v>0.483</v>
      </c>
      <c r="E22" s="0" t="n">
        <v>0.483</v>
      </c>
      <c r="F22" s="0" t="s">
        <v>248</v>
      </c>
      <c r="G22" s="0" t="s">
        <v>240</v>
      </c>
      <c r="H22" s="0" t="s">
        <v>310</v>
      </c>
    </row>
    <row r="23" customFormat="false" ht="15" hidden="false" customHeight="false" outlineLevel="0" collapsed="false">
      <c r="A23" s="0" t="s">
        <v>311</v>
      </c>
      <c r="B23" s="0" t="s">
        <v>312</v>
      </c>
      <c r="C23" s="0" t="n">
        <v>0.801</v>
      </c>
      <c r="D23" s="0" t="n">
        <v>0.801</v>
      </c>
      <c r="E23" s="0" t="n">
        <v>0.801</v>
      </c>
      <c r="F23" s="0" t="s">
        <v>248</v>
      </c>
      <c r="G23" s="0" t="s">
        <v>240</v>
      </c>
      <c r="H23" s="0" t="s">
        <v>313</v>
      </c>
    </row>
    <row r="24" customFormat="false" ht="15" hidden="false" customHeight="false" outlineLevel="0" collapsed="false">
      <c r="A24" s="0" t="s">
        <v>314</v>
      </c>
      <c r="B24" s="0" t="s">
        <v>315</v>
      </c>
      <c r="C24" s="0" t="n">
        <v>0.71</v>
      </c>
      <c r="D24" s="0" t="n">
        <v>0.71</v>
      </c>
      <c r="E24" s="0" t="n">
        <v>0.71</v>
      </c>
      <c r="F24" s="0" t="s">
        <v>248</v>
      </c>
      <c r="G24" s="0" t="s">
        <v>316</v>
      </c>
      <c r="H24" s="0" t="s">
        <v>317</v>
      </c>
    </row>
    <row r="25" customFormat="false" ht="15" hidden="false" customHeight="false" outlineLevel="0" collapsed="false">
      <c r="A25" s="0" t="s">
        <v>318</v>
      </c>
      <c r="B25" s="0" t="s">
        <v>319</v>
      </c>
      <c r="C25" s="0" t="s">
        <v>320</v>
      </c>
      <c r="F25" s="0" t="s">
        <v>248</v>
      </c>
      <c r="G25" s="0" t="s">
        <v>240</v>
      </c>
      <c r="H25" s="0" t="s">
        <v>263</v>
      </c>
    </row>
    <row r="26" customFormat="false" ht="15" hidden="false" customHeight="false" outlineLevel="0" collapsed="false">
      <c r="A26" s="0" t="s">
        <v>321</v>
      </c>
      <c r="B26" s="0" t="s">
        <v>322</v>
      </c>
      <c r="C26" s="0" t="n">
        <v>0.9</v>
      </c>
      <c r="D26" s="0" t="n">
        <v>0.9</v>
      </c>
      <c r="E26" s="0" t="n">
        <v>0.9</v>
      </c>
      <c r="F26" s="0" t="s">
        <v>248</v>
      </c>
      <c r="G26" s="0" t="s">
        <v>240</v>
      </c>
      <c r="H26" s="0" t="s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14" min="2" style="0" width="20"/>
    <col collapsed="false" customWidth="true" hidden="false" outlineLevel="0" max="16" min="15" style="0" width="19"/>
    <col collapsed="false" customWidth="true" hidden="false" outlineLevel="0" max="17" min="17" style="0" width="16"/>
    <col collapsed="false" customWidth="true" hidden="false" outlineLevel="0" max="18" min="18" style="0" width="19"/>
  </cols>
  <sheetData>
    <row r="1" customFormat="false" ht="15" hidden="false" customHeight="false" outlineLevel="0" collapsed="false">
      <c r="A1" s="0" t="s">
        <v>324</v>
      </c>
      <c r="B1" s="0" t="s">
        <v>325</v>
      </c>
      <c r="C1" s="0" t="s">
        <v>326</v>
      </c>
      <c r="D1" s="0" t="s">
        <v>327</v>
      </c>
      <c r="E1" s="0" t="s">
        <v>328</v>
      </c>
      <c r="F1" s="0" t="s">
        <v>329</v>
      </c>
      <c r="G1" s="0" t="s">
        <v>330</v>
      </c>
      <c r="H1" s="0" t="s">
        <v>331</v>
      </c>
      <c r="I1" s="0" t="s">
        <v>332</v>
      </c>
      <c r="J1" s="0" t="s">
        <v>333</v>
      </c>
      <c r="K1" s="0" t="s">
        <v>334</v>
      </c>
      <c r="L1" s="0" t="s">
        <v>335</v>
      </c>
      <c r="M1" s="0" t="s">
        <v>336</v>
      </c>
      <c r="N1" s="0" t="s">
        <v>337</v>
      </c>
      <c r="O1" s="0" t="s">
        <v>338</v>
      </c>
      <c r="P1" s="0" t="s">
        <v>339</v>
      </c>
      <c r="Q1" s="0" t="s">
        <v>340</v>
      </c>
      <c r="R1" s="0" t="s">
        <v>341</v>
      </c>
    </row>
    <row r="2" customFormat="false" ht="15" hidden="false" customHeight="false" outlineLevel="0" collapsed="false">
      <c r="A2" s="0" t="s">
        <v>342</v>
      </c>
      <c r="B2" s="0" t="n">
        <v>0.211843194739752</v>
      </c>
      <c r="C2" s="0" t="n">
        <v>0.189276191167462</v>
      </c>
      <c r="D2" s="0" t="n">
        <v>0.239910248571491</v>
      </c>
      <c r="E2" s="0" t="n">
        <v>0.122562070811883</v>
      </c>
      <c r="F2" s="0" t="n">
        <v>0.10571624289866</v>
      </c>
      <c r="G2" s="0" t="n">
        <v>0.140476578904437</v>
      </c>
      <c r="H2" s="0" t="n">
        <v>0.64244024145756</v>
      </c>
      <c r="I2" s="0" t="n">
        <v>0.532936084457606</v>
      </c>
      <c r="J2" s="0" t="n">
        <v>0.812878923659747</v>
      </c>
      <c r="K2" s="0" t="n">
        <v>1.7309266265558</v>
      </c>
      <c r="L2" s="0" t="n">
        <v>1.44964798596454</v>
      </c>
      <c r="M2" s="0" t="n">
        <v>2.09300164306625</v>
      </c>
      <c r="N2" s="0" t="n">
        <v>5.27593248764748</v>
      </c>
      <c r="O2" s="0" t="n">
        <v>4.15138718748718</v>
      </c>
      <c r="P2" s="0" t="n">
        <v>6.90130395493087</v>
      </c>
      <c r="Q2" s="0" t="n">
        <v>0</v>
      </c>
      <c r="R2" s="0" t="n">
        <v>0</v>
      </c>
    </row>
    <row r="3" customFormat="false" ht="15" hidden="false" customHeight="false" outlineLevel="0" collapsed="false">
      <c r="A3" s="0" t="s">
        <v>343</v>
      </c>
      <c r="B3" s="0" t="n">
        <v>0.148655250379177</v>
      </c>
      <c r="C3" s="0" t="n">
        <v>0.128448254057752</v>
      </c>
      <c r="D3" s="0" t="n">
        <v>0.173511400648148</v>
      </c>
      <c r="E3" s="0" t="n">
        <v>0.129179037293303</v>
      </c>
      <c r="F3" s="0" t="n">
        <v>0.111141161742544</v>
      </c>
      <c r="G3" s="0" t="n">
        <v>0.148131275752562</v>
      </c>
      <c r="H3" s="0" t="n">
        <v>0.7296129542482</v>
      </c>
      <c r="I3" s="0" t="n">
        <v>0.62083618025719</v>
      </c>
      <c r="J3" s="0" t="n">
        <v>0.899468812188146</v>
      </c>
      <c r="K3" s="0" t="n">
        <v>1.15048872618284</v>
      </c>
      <c r="L3" s="0" t="n">
        <v>0.941826994698729</v>
      </c>
      <c r="M3" s="0" t="n">
        <v>1.42534229427764</v>
      </c>
      <c r="N3" s="0" t="n">
        <v>5.68217668523223</v>
      </c>
      <c r="O3" s="0" t="n">
        <v>4.56285351078658</v>
      </c>
      <c r="P3" s="0" t="n">
        <v>7.28118951053121</v>
      </c>
      <c r="Q3" s="0" t="n">
        <v>0.124</v>
      </c>
      <c r="R3" s="0" t="n">
        <v>0</v>
      </c>
    </row>
    <row r="4" customFormat="false" ht="15" hidden="false" customHeight="false" outlineLevel="0" collapsed="false">
      <c r="A4" s="0" t="s">
        <v>344</v>
      </c>
      <c r="B4" s="0" t="n">
        <v>0.148655250379177</v>
      </c>
      <c r="C4" s="0" t="n">
        <v>0.128448254057752</v>
      </c>
      <c r="D4" s="0" t="n">
        <v>0.173511400648148</v>
      </c>
      <c r="E4" s="0" t="n">
        <v>0.115016246601978</v>
      </c>
      <c r="F4" s="0" t="n">
        <v>0.0973333332087556</v>
      </c>
      <c r="G4" s="0" t="n">
        <v>0.133392500189312</v>
      </c>
      <c r="H4" s="0" t="n">
        <v>0.7296129542482</v>
      </c>
      <c r="I4" s="0" t="n">
        <v>0.62083618025719</v>
      </c>
      <c r="J4" s="0" t="n">
        <v>0.899468812188146</v>
      </c>
      <c r="K4" s="0" t="n">
        <v>1.29320963847647</v>
      </c>
      <c r="L4" s="0" t="n">
        <v>1.04899062253723</v>
      </c>
      <c r="M4" s="0" t="n">
        <v>1.6194611705598</v>
      </c>
      <c r="N4" s="0" t="n">
        <v>6.39006748508938</v>
      </c>
      <c r="O4" s="0" t="n">
        <v>5.07927850042152</v>
      </c>
      <c r="P4" s="0" t="n">
        <v>8.26503290571548</v>
      </c>
      <c r="Q4" s="0" t="n">
        <v>0.02085</v>
      </c>
      <c r="R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1"/>
  </cols>
  <sheetData>
    <row r="1" customFormat="false" ht="15" hidden="false" customHeight="false" outlineLevel="0" collapsed="false">
      <c r="A1" s="0" t="s">
        <v>230</v>
      </c>
      <c r="B1" s="0" t="s">
        <v>345</v>
      </c>
    </row>
    <row r="2" customFormat="false" ht="15" hidden="false" customHeight="false" outlineLevel="0" collapsed="false">
      <c r="A2" s="0" t="s">
        <v>251</v>
      </c>
      <c r="B2" s="0" t="n">
        <v>0.475970740345927</v>
      </c>
    </row>
    <row r="3" customFormat="false" ht="15" hidden="false" customHeight="false" outlineLevel="0" collapsed="false">
      <c r="A3" s="0" t="s">
        <v>265</v>
      </c>
      <c r="B3" s="0" t="n">
        <v>-0.382282496488706</v>
      </c>
    </row>
    <row r="4" customFormat="false" ht="15" hidden="false" customHeight="false" outlineLevel="0" collapsed="false">
      <c r="A4" s="0" t="s">
        <v>278</v>
      </c>
      <c r="B4" s="0" t="n">
        <v>-0.380074242980186</v>
      </c>
    </row>
    <row r="5" customFormat="false" ht="15" hidden="false" customHeight="false" outlineLevel="0" collapsed="false">
      <c r="A5" s="0" t="s">
        <v>247</v>
      </c>
      <c r="B5" s="0" t="n">
        <v>-0.379983228739958</v>
      </c>
    </row>
    <row r="6" customFormat="false" ht="15" hidden="false" customHeight="false" outlineLevel="0" collapsed="false">
      <c r="A6" s="0" t="s">
        <v>238</v>
      </c>
      <c r="B6" s="0" t="n">
        <v>0.310394556750486</v>
      </c>
    </row>
    <row r="7" customFormat="false" ht="15" hidden="false" customHeight="false" outlineLevel="0" collapsed="false">
      <c r="A7" s="0" t="s">
        <v>275</v>
      </c>
      <c r="B7" s="0" t="n">
        <v>0.279183541242459</v>
      </c>
    </row>
    <row r="8" customFormat="false" ht="15" hidden="false" customHeight="false" outlineLevel="0" collapsed="false">
      <c r="A8" s="0" t="s">
        <v>285</v>
      </c>
      <c r="B8" s="0" t="n">
        <v>-0.227131507043329</v>
      </c>
    </row>
    <row r="9" customFormat="false" ht="15" hidden="false" customHeight="false" outlineLevel="0" collapsed="false">
      <c r="A9" s="0" t="s">
        <v>243</v>
      </c>
      <c r="B9" s="0" t="n">
        <v>0.148013386235533</v>
      </c>
    </row>
    <row r="10" customFormat="false" ht="15" hidden="false" customHeight="false" outlineLevel="0" collapsed="false">
      <c r="A10" s="0" t="s">
        <v>269</v>
      </c>
      <c r="B10" s="0" t="n">
        <v>-0.128610347916526</v>
      </c>
    </row>
    <row r="11" customFormat="false" ht="15" hidden="false" customHeight="false" outlineLevel="0" collapsed="false">
      <c r="A11" s="0" t="s">
        <v>255</v>
      </c>
      <c r="B11" s="0" t="n">
        <v>-0.0047931124379827</v>
      </c>
    </row>
    <row r="12" customFormat="false" ht="15" hidden="false" customHeight="false" outlineLevel="0" collapsed="false">
      <c r="A12" s="0" t="s">
        <v>346</v>
      </c>
      <c r="B12" s="0" t="n">
        <v>0.0023310394663275</v>
      </c>
    </row>
    <row r="13" customFormat="false" ht="15" hidden="false" customHeight="false" outlineLevel="0" collapsed="false">
      <c r="A13" s="0" t="s">
        <v>259</v>
      </c>
      <c r="B13" s="0" t="n">
        <v>0.0007916617234791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20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9"/>
    <col collapsed="false" customWidth="true" hidden="false" outlineLevel="0" max="9" min="9" style="0" width="16"/>
    <col collapsed="false" customWidth="true" hidden="false" outlineLevel="0" max="12" min="10" style="0" width="20"/>
  </cols>
  <sheetData>
    <row r="1" customFormat="false" ht="15" hidden="false" customHeight="false" outlineLevel="0" collapsed="false">
      <c r="A1" s="0" t="s">
        <v>347</v>
      </c>
      <c r="B1" s="0" t="s">
        <v>348</v>
      </c>
      <c r="C1" s="0" t="s">
        <v>349</v>
      </c>
      <c r="D1" s="0" t="s">
        <v>350</v>
      </c>
      <c r="E1" s="0" t="s">
        <v>351</v>
      </c>
      <c r="F1" s="0" t="s">
        <v>352</v>
      </c>
      <c r="G1" s="0" t="s">
        <v>353</v>
      </c>
      <c r="H1" s="0" t="s">
        <v>334</v>
      </c>
      <c r="I1" s="0" t="s">
        <v>340</v>
      </c>
      <c r="J1" s="0" t="s">
        <v>354</v>
      </c>
      <c r="K1" s="0" t="s">
        <v>355</v>
      </c>
      <c r="L1" s="0" t="s">
        <v>356</v>
      </c>
    </row>
    <row r="2" customFormat="false" ht="15" hidden="false" customHeight="false" outlineLevel="0" collapsed="false">
      <c r="A2" s="0" t="s">
        <v>357</v>
      </c>
      <c r="B2" s="0" t="n">
        <v>0.892810047257222</v>
      </c>
      <c r="C2" s="0" t="n">
        <v>0.831421532590113</v>
      </c>
      <c r="D2" s="0" t="n">
        <v>0.958726843568952</v>
      </c>
      <c r="E2" s="0" t="n">
        <v>0.00435</v>
      </c>
      <c r="F2" s="0" t="n">
        <v>0</v>
      </c>
      <c r="G2" s="0" t="n">
        <v>0.892570557136893</v>
      </c>
    </row>
    <row r="3" customFormat="false" ht="15" hidden="false" customHeight="false" outlineLevel="0" collapsed="false">
      <c r="A3" s="0" t="s">
        <v>358</v>
      </c>
      <c r="B3" s="0" t="n">
        <v>0.924252033185551</v>
      </c>
      <c r="C3" s="0" t="n">
        <v>0.86392028786211</v>
      </c>
      <c r="D3" s="0" t="n">
        <v>0.98951996371652</v>
      </c>
      <c r="E3" s="0" t="n">
        <v>0.02965</v>
      </c>
      <c r="F3" s="0" t="n">
        <v>0</v>
      </c>
      <c r="G3" s="0" t="n">
        <v>0.922830828597811</v>
      </c>
    </row>
    <row r="4" customFormat="false" ht="15" hidden="false" customHeight="false" outlineLevel="0" collapsed="false">
      <c r="A4" s="0" t="s">
        <v>359</v>
      </c>
      <c r="C4" s="0" t="n">
        <v>0.754414651296003</v>
      </c>
      <c r="D4" s="0" t="n">
        <v>1.04740977229995</v>
      </c>
      <c r="H4" s="0" t="n">
        <v>0.880212037024229</v>
      </c>
      <c r="I4" s="0" t="n">
        <v>0.88955</v>
      </c>
      <c r="J4" s="0" t="n">
        <v>0.811454378600008</v>
      </c>
      <c r="K4" s="0" t="n">
        <v>0.761714985452395</v>
      </c>
      <c r="L4" s="0" t="n">
        <v>0.864030661847878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60"/>
    <col collapsed="false" customWidth="true" hidden="false" outlineLevel="0" max="5" min="5" style="0" width="70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360</v>
      </c>
      <c r="B1" s="1" t="s">
        <v>361</v>
      </c>
      <c r="C1" s="1" t="s">
        <v>362</v>
      </c>
      <c r="D1" s="1" t="s">
        <v>363</v>
      </c>
      <c r="E1" s="1" t="s">
        <v>364</v>
      </c>
      <c r="F1" s="1" t="s">
        <v>365</v>
      </c>
    </row>
    <row r="2" customFormat="false" ht="28.35" hidden="false" customHeight="false" outlineLevel="0" collapsed="false">
      <c r="A2" s="2" t="s">
        <v>366</v>
      </c>
      <c r="B2" s="2" t="s">
        <v>367</v>
      </c>
      <c r="C2" s="2" t="s">
        <v>368</v>
      </c>
      <c r="D2" s="2" t="s">
        <v>369</v>
      </c>
      <c r="E2" s="2" t="s">
        <v>370</v>
      </c>
      <c r="F2" s="2" t="s">
        <v>371</v>
      </c>
    </row>
    <row r="3" customFormat="false" ht="28.35" hidden="false" customHeight="false" outlineLevel="0" collapsed="false">
      <c r="A3" s="2" t="s">
        <v>372</v>
      </c>
      <c r="B3" s="2" t="s">
        <v>373</v>
      </c>
      <c r="C3" s="2" t="s">
        <v>374</v>
      </c>
      <c r="D3" s="2" t="s">
        <v>122</v>
      </c>
      <c r="E3" s="2" t="s">
        <v>375</v>
      </c>
      <c r="F3" s="2" t="s">
        <v>376</v>
      </c>
    </row>
    <row r="4" customFormat="false" ht="28.35" hidden="false" customHeight="false" outlineLevel="0" collapsed="false">
      <c r="A4" s="2" t="s">
        <v>377</v>
      </c>
      <c r="B4" s="2" t="s">
        <v>378</v>
      </c>
      <c r="C4" s="2" t="s">
        <v>379</v>
      </c>
      <c r="D4" s="2" t="s">
        <v>36</v>
      </c>
      <c r="E4" s="2" t="s">
        <v>380</v>
      </c>
      <c r="F4" s="2" t="s">
        <v>381</v>
      </c>
    </row>
    <row r="5" customFormat="false" ht="28.35" hidden="false" customHeight="false" outlineLevel="0" collapsed="false">
      <c r="A5" s="2" t="s">
        <v>382</v>
      </c>
      <c r="B5" s="2" t="s">
        <v>383</v>
      </c>
      <c r="C5" s="2" t="s">
        <v>384</v>
      </c>
      <c r="D5" s="2" t="s">
        <v>385</v>
      </c>
      <c r="E5" s="2" t="s">
        <v>386</v>
      </c>
      <c r="F5" s="2" t="s">
        <v>387</v>
      </c>
    </row>
    <row r="6" customFormat="false" ht="41.75" hidden="false" customHeight="false" outlineLevel="0" collapsed="false">
      <c r="A6" s="2" t="s">
        <v>388</v>
      </c>
      <c r="B6" s="2" t="s">
        <v>389</v>
      </c>
      <c r="C6" s="2" t="s">
        <v>390</v>
      </c>
      <c r="D6" s="2" t="s">
        <v>68</v>
      </c>
      <c r="E6" s="2" t="s">
        <v>391</v>
      </c>
      <c r="F6" s="2" t="s">
        <v>392</v>
      </c>
    </row>
    <row r="7" customFormat="false" ht="28.35" hidden="false" customHeight="false" outlineLevel="0" collapsed="false">
      <c r="A7" s="2" t="s">
        <v>393</v>
      </c>
      <c r="B7" s="2" t="s">
        <v>394</v>
      </c>
      <c r="C7" s="2" t="s">
        <v>395</v>
      </c>
      <c r="D7" s="2" t="s">
        <v>78</v>
      </c>
      <c r="E7" s="2" t="s">
        <v>396</v>
      </c>
      <c r="F7" s="2" t="s">
        <v>397</v>
      </c>
    </row>
    <row r="8" customFormat="false" ht="28.35" hidden="false" customHeight="false" outlineLevel="0" collapsed="false">
      <c r="A8" s="2" t="s">
        <v>398</v>
      </c>
      <c r="B8" s="2" t="s">
        <v>399</v>
      </c>
      <c r="C8" s="2" t="s">
        <v>400</v>
      </c>
      <c r="D8" s="2" t="s">
        <v>90</v>
      </c>
      <c r="E8" s="2" t="s">
        <v>401</v>
      </c>
      <c r="F8" s="2" t="s">
        <v>402</v>
      </c>
    </row>
    <row r="9" customFormat="false" ht="28.35" hidden="false" customHeight="false" outlineLevel="0" collapsed="false">
      <c r="A9" s="2" t="s">
        <v>403</v>
      </c>
      <c r="B9" s="2" t="s">
        <v>404</v>
      </c>
      <c r="C9" s="2" t="s">
        <v>405</v>
      </c>
      <c r="D9" s="2" t="s">
        <v>106</v>
      </c>
      <c r="E9" s="2" t="s">
        <v>406</v>
      </c>
      <c r="F9" s="2" t="s">
        <v>407</v>
      </c>
    </row>
    <row r="10" customFormat="false" ht="15" hidden="false" customHeight="false" outlineLevel="0" collapsed="false">
      <c r="A10" s="2" t="s">
        <v>408</v>
      </c>
      <c r="B10" s="2" t="s">
        <v>409</v>
      </c>
      <c r="C10" s="2" t="s">
        <v>410</v>
      </c>
      <c r="D10" s="2" t="s">
        <v>411</v>
      </c>
      <c r="E10" s="2" t="s">
        <v>412</v>
      </c>
      <c r="F10" s="2" t="s">
        <v>413</v>
      </c>
    </row>
    <row r="11" customFormat="false" ht="15" hidden="false" customHeight="false" outlineLevel="0" collapsed="false">
      <c r="A11" s="2" t="s">
        <v>414</v>
      </c>
      <c r="B11" s="2" t="s">
        <v>415</v>
      </c>
      <c r="C11" s="2" t="s">
        <v>416</v>
      </c>
      <c r="D11" s="2" t="s">
        <v>417</v>
      </c>
      <c r="E11" s="2" t="s">
        <v>418</v>
      </c>
      <c r="F11" s="2" t="s">
        <v>413</v>
      </c>
    </row>
    <row r="12" customFormat="false" ht="28.35" hidden="false" customHeight="false" outlineLevel="0" collapsed="false">
      <c r="A12" s="2" t="s">
        <v>419</v>
      </c>
      <c r="B12" s="2" t="s">
        <v>420</v>
      </c>
      <c r="C12" s="2" t="s">
        <v>421</v>
      </c>
      <c r="D12" s="2" t="s">
        <v>422</v>
      </c>
      <c r="E12" s="2" t="s">
        <v>423</v>
      </c>
      <c r="F12" s="2" t="s">
        <v>413</v>
      </c>
    </row>
    <row r="13" customFormat="false" ht="15" hidden="false" customHeight="false" outlineLevel="0" collapsed="false">
      <c r="A13" s="2" t="s">
        <v>424</v>
      </c>
      <c r="B13" s="2" t="s">
        <v>425</v>
      </c>
      <c r="C13" s="2" t="s">
        <v>426</v>
      </c>
      <c r="D13" s="2" t="s">
        <v>427</v>
      </c>
      <c r="E13" s="2" t="s">
        <v>428</v>
      </c>
      <c r="F13" s="2" t="s">
        <v>413</v>
      </c>
    </row>
    <row r="14" customFormat="false" ht="28.35" hidden="false" customHeight="false" outlineLevel="0" collapsed="false">
      <c r="A14" s="2" t="s">
        <v>429</v>
      </c>
      <c r="B14" s="2" t="s">
        <v>430</v>
      </c>
      <c r="C14" s="2" t="s">
        <v>431</v>
      </c>
      <c r="D14" s="2" t="s">
        <v>432</v>
      </c>
      <c r="E14" s="2" t="s">
        <v>433</v>
      </c>
      <c r="F14" s="2" t="s">
        <v>434</v>
      </c>
    </row>
    <row r="15" customFormat="false" ht="15" hidden="false" customHeight="false" outlineLevel="0" collapsed="false">
      <c r="A15" s="2" t="s">
        <v>435</v>
      </c>
      <c r="B15" s="2" t="s">
        <v>436</v>
      </c>
      <c r="C15" s="2" t="s">
        <v>437</v>
      </c>
      <c r="D15" s="2" t="s">
        <v>438</v>
      </c>
      <c r="E15" s="2" t="s">
        <v>439</v>
      </c>
      <c r="F15" s="2" t="s">
        <v>440</v>
      </c>
    </row>
    <row r="16" customFormat="false" ht="41.75" hidden="false" customHeight="false" outlineLevel="0" collapsed="false">
      <c r="A16" s="2" t="s">
        <v>441</v>
      </c>
      <c r="B16" s="2" t="s">
        <v>442</v>
      </c>
      <c r="C16" s="2" t="s">
        <v>443</v>
      </c>
      <c r="D16" s="2" t="s">
        <v>135</v>
      </c>
      <c r="E16" s="2" t="s">
        <v>444</v>
      </c>
      <c r="F16" s="2" t="s">
        <v>445</v>
      </c>
    </row>
    <row r="17" customFormat="false" ht="15" hidden="false" customHeight="false" outlineLevel="0" collapsed="false">
      <c r="A17" s="2" t="s">
        <v>446</v>
      </c>
      <c r="B17" s="2" t="s">
        <v>447</v>
      </c>
      <c r="C17" s="2" t="s">
        <v>448</v>
      </c>
      <c r="D17" s="2" t="s">
        <v>206</v>
      </c>
      <c r="E17" s="2" t="s">
        <v>449</v>
      </c>
      <c r="F17" s="2" t="s">
        <v>450</v>
      </c>
    </row>
    <row r="19" customFormat="false" ht="15" hidden="false" customHeight="false" outlineLevel="0" collapsed="false">
      <c r="A19" s="0" t="s">
        <v>21</v>
      </c>
      <c r="B19" s="0" t="s">
        <v>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</cols>
  <sheetData>
    <row r="1" customFormat="false" ht="15" hidden="false" customHeight="false" outlineLevel="0" collapsed="false">
      <c r="A1" s="1" t="s">
        <v>209</v>
      </c>
      <c r="B1" s="1" t="s">
        <v>210</v>
      </c>
      <c r="C1" s="1" t="s">
        <v>211</v>
      </c>
      <c r="D1" s="1" t="s">
        <v>17</v>
      </c>
      <c r="E1" s="1" t="s">
        <v>452</v>
      </c>
      <c r="F1" s="1" t="s">
        <v>453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458</v>
      </c>
      <c r="L1" s="1" t="s">
        <v>215</v>
      </c>
    </row>
    <row r="2" customFormat="false" ht="15" hidden="false" customHeight="false" outlineLevel="0" collapsed="false">
      <c r="A2" s="0" t="s">
        <v>217</v>
      </c>
      <c r="B2" s="0" t="n">
        <v>11</v>
      </c>
      <c r="C2" s="0" t="n">
        <v>23</v>
      </c>
      <c r="D2" s="0" t="n">
        <v>2.22778178652433</v>
      </c>
      <c r="E2" s="0" t="n">
        <v>1.26537240282247</v>
      </c>
      <c r="F2" s="0" t="n">
        <v>4.2272551725361</v>
      </c>
      <c r="G2" s="0" t="n">
        <v>1.08398382400021</v>
      </c>
      <c r="H2" s="0" t="n">
        <v>4.57849238935558</v>
      </c>
      <c r="I2" s="0" t="n">
        <v>1.07227388154057</v>
      </c>
      <c r="J2" s="0" t="n">
        <v>0.183708388104588</v>
      </c>
      <c r="K2" s="0" t="n">
        <v>27.0157053772852</v>
      </c>
      <c r="L2" s="0" t="n">
        <v>30.4347826086957</v>
      </c>
    </row>
    <row r="3" customFormat="false" ht="15" hidden="false" customHeight="false" outlineLevel="0" collapsed="false">
      <c r="A3" s="0" t="s">
        <v>459</v>
      </c>
      <c r="B3" s="0" t="n">
        <v>10</v>
      </c>
      <c r="C3" s="0" t="n">
        <v>21</v>
      </c>
      <c r="D3" s="0" t="n">
        <v>1.75134067295076</v>
      </c>
      <c r="E3" s="0" t="n">
        <v>1.12113112029798</v>
      </c>
      <c r="F3" s="0" t="n">
        <v>2.72310638494239</v>
      </c>
      <c r="G3" s="0" t="n">
        <v>1.0205772437499</v>
      </c>
      <c r="H3" s="0" t="n">
        <v>3.00535228618449</v>
      </c>
      <c r="I3" s="0" t="n">
        <v>0.75488640214061</v>
      </c>
      <c r="J3" s="0" t="n">
        <v>0.292105694110055</v>
      </c>
      <c r="K3" s="0" t="n">
        <v>10.5002888152396</v>
      </c>
      <c r="L3" s="0" t="n">
        <v>33.3333333333333</v>
      </c>
    </row>
    <row r="4" customFormat="false" ht="15" hidden="false" customHeight="false" outlineLevel="0" collapsed="false">
      <c r="A4" s="0" t="s">
        <v>460</v>
      </c>
      <c r="B4" s="0" t="n">
        <v>10</v>
      </c>
      <c r="C4" s="0" t="n">
        <v>21</v>
      </c>
      <c r="D4" s="0" t="n">
        <v>2.10555431812593</v>
      </c>
      <c r="E4" s="0" t="n">
        <v>1.15950621506385</v>
      </c>
      <c r="F4" s="0" t="n">
        <v>4.21694287770573</v>
      </c>
      <c r="G4" s="0" t="n">
        <v>0.949745275835718</v>
      </c>
      <c r="H4" s="0" t="n">
        <v>4.66794528951742</v>
      </c>
      <c r="I4" s="0" t="n">
        <v>1.11292729669615</v>
      </c>
      <c r="J4" s="0" t="n">
        <v>0.150180158524641</v>
      </c>
      <c r="K4" s="0" t="n">
        <v>29.5202710539911</v>
      </c>
      <c r="L4" s="0" t="n">
        <v>33.3333333333333</v>
      </c>
    </row>
    <row r="5" customFormat="false" ht="15" hidden="false" customHeight="false" outlineLevel="0" collapsed="false">
      <c r="A5" s="0" t="s">
        <v>461</v>
      </c>
      <c r="B5" s="0" t="n">
        <v>9</v>
      </c>
      <c r="C5" s="0" t="n">
        <v>19</v>
      </c>
      <c r="D5" s="0" t="n">
        <v>1.60151196762258</v>
      </c>
      <c r="E5" s="0" t="n">
        <v>1.02715066875056</v>
      </c>
      <c r="F5" s="0" t="n">
        <v>2.54949176417538</v>
      </c>
      <c r="G5" s="0" t="n">
        <v>0.905124217348811</v>
      </c>
      <c r="H5" s="0" t="n">
        <v>2.83368904872638</v>
      </c>
      <c r="I5" s="0" t="n">
        <v>0.742363695773348</v>
      </c>
      <c r="J5" s="0" t="n">
        <v>0.263541008356457</v>
      </c>
      <c r="K5" s="0" t="n">
        <v>9.73222573000569</v>
      </c>
      <c r="L5" s="0" t="n">
        <v>36.8421052631579</v>
      </c>
    </row>
    <row r="6" customFormat="false" ht="15" hidden="false" customHeight="false" outlineLevel="0" collapsed="false">
      <c r="A6" s="0" t="s">
        <v>462</v>
      </c>
      <c r="B6" s="0" t="n">
        <v>8</v>
      </c>
      <c r="C6" s="0" t="n">
        <v>15</v>
      </c>
      <c r="D6" s="0" t="n">
        <v>1.55976357402637</v>
      </c>
      <c r="E6" s="0" t="n">
        <v>0.954223059494475</v>
      </c>
      <c r="F6" s="0" t="n">
        <v>2.62485398001505</v>
      </c>
      <c r="G6" s="0" t="n">
        <v>0.806413905283185</v>
      </c>
      <c r="H6" s="0" t="n">
        <v>3.01689044660655</v>
      </c>
      <c r="I6" s="0" t="n">
        <v>0.789085985476878</v>
      </c>
      <c r="J6" s="0" t="n">
        <v>0.215554193346845</v>
      </c>
      <c r="K6" s="0" t="n">
        <v>11.2865464089805</v>
      </c>
      <c r="L6" s="0" t="n">
        <v>46.6666666666667</v>
      </c>
    </row>
    <row r="7" customFormat="false" ht="15" hidden="false" customHeight="false" outlineLevel="0" collapsed="false">
      <c r="A7" s="0" t="s">
        <v>218</v>
      </c>
      <c r="B7" s="0" t="n">
        <v>6</v>
      </c>
      <c r="C7" s="0" t="n">
        <v>7</v>
      </c>
      <c r="D7" s="0" t="n">
        <v>4.99046982630252</v>
      </c>
      <c r="E7" s="0" t="n">
        <v>2.37830572975914</v>
      </c>
      <c r="F7" s="0" t="n">
        <v>14.3245354953539</v>
      </c>
      <c r="G7" s="0" t="n">
        <v>1.30830134803546</v>
      </c>
      <c r="H7" s="0" t="n">
        <v>19.0359729619119</v>
      </c>
      <c r="I7" s="0" t="n">
        <v>1.27573373067986</v>
      </c>
      <c r="J7" s="0" t="n">
        <v>0.144481620823913</v>
      </c>
      <c r="K7" s="0" t="n">
        <v>172.373406009811</v>
      </c>
      <c r="L7" s="0" t="n">
        <v>0</v>
      </c>
    </row>
    <row r="8" customFormat="false" ht="15" hidden="false" customHeight="false" outlineLevel="0" collapsed="false">
      <c r="A8" s="0" t="s">
        <v>220</v>
      </c>
      <c r="B8" s="0" t="n">
        <v>6</v>
      </c>
      <c r="C8" s="0" t="n">
        <v>7</v>
      </c>
      <c r="D8" s="0" t="n">
        <v>3.20849780344766</v>
      </c>
      <c r="E8" s="0" t="n">
        <v>1.46148205839475</v>
      </c>
      <c r="F8" s="0" t="n">
        <v>7.04384846573869</v>
      </c>
      <c r="G8" s="0" t="n">
        <v>1.01986684001414</v>
      </c>
      <c r="H8" s="0" t="n">
        <v>10.0939237857618</v>
      </c>
      <c r="I8" s="0" t="n">
        <v>1.09214013729274</v>
      </c>
      <c r="J8" s="0" t="n">
        <v>0.154652568675839</v>
      </c>
      <c r="K8" s="0" t="n">
        <v>66.565064149088</v>
      </c>
      <c r="L8" s="0" t="n">
        <v>14.2857142857143</v>
      </c>
    </row>
    <row r="9" customFormat="false" ht="15" hidden="false" customHeight="false" outlineLevel="0" collapsed="false">
      <c r="A9" s="0" t="s">
        <v>221</v>
      </c>
      <c r="B9" s="0" t="n">
        <v>3</v>
      </c>
      <c r="C9" s="0" t="n">
        <v>4</v>
      </c>
      <c r="D9" s="0" t="n">
        <v>0.908353250735194</v>
      </c>
      <c r="E9" s="0" t="n">
        <v>0.602555080117468</v>
      </c>
      <c r="F9" s="0" t="n">
        <v>1.44871794871795</v>
      </c>
      <c r="G9" s="0" t="n">
        <v>0.303475177819655</v>
      </c>
      <c r="H9" s="0" t="n">
        <v>2.71885705463373</v>
      </c>
      <c r="I9" s="0" t="n">
        <v>0.441333634479774</v>
      </c>
      <c r="J9" s="0" t="n">
        <v>0.101389171534456</v>
      </c>
      <c r="K9" s="0" t="n">
        <v>8.13800542635654</v>
      </c>
      <c r="L9" s="0" t="n">
        <v>75</v>
      </c>
    </row>
    <row r="10" customFormat="false" ht="15" hidden="false" customHeight="false" outlineLevel="0" collapsed="false">
      <c r="A10" s="0" t="s">
        <v>219</v>
      </c>
      <c r="B10" s="0" t="n">
        <v>2</v>
      </c>
      <c r="C10" s="0" t="n">
        <v>4</v>
      </c>
      <c r="D10" s="0" t="n">
        <v>0.993164665892826</v>
      </c>
      <c r="E10" s="0" t="n">
        <v>0.935272000207215</v>
      </c>
      <c r="F10" s="0" t="n">
        <v>1.05464084604208</v>
      </c>
      <c r="G10" s="0" t="n">
        <v>0.463021505683773</v>
      </c>
      <c r="H10" s="0" t="n">
        <v>2.13030289407695</v>
      </c>
      <c r="I10" s="0" t="n">
        <v>0.0849363664437557</v>
      </c>
      <c r="J10" s="0" t="n">
        <v>0.264840752435303</v>
      </c>
      <c r="K10" s="0" t="n">
        <v>3.72441191360445</v>
      </c>
      <c r="L10" s="0" t="n">
        <v>50</v>
      </c>
    </row>
    <row r="12" customFormat="false" ht="15" hidden="false" customHeight="false" outlineLevel="0" collapsed="false">
      <c r="A12" s="0" t="s">
        <v>463</v>
      </c>
    </row>
    <row r="13" customFormat="false" ht="15" hidden="false" customHeight="false" outlineLevel="0" collapsed="false">
      <c r="A13" s="0" t="s">
        <v>464</v>
      </c>
    </row>
    <row r="14" customFormat="false" ht="15" hidden="false" customHeight="false" outlineLevel="0" collapsed="false">
      <c r="A14" s="0" t="s">
        <v>465</v>
      </c>
    </row>
    <row r="15" customFormat="false" ht="15" hidden="false" customHeight="false" outlineLevel="0" collapsed="false">
      <c r="A15" s="0" t="s">
        <v>466</v>
      </c>
    </row>
    <row r="17" customFormat="false" ht="15" hidden="false" customHeight="false" outlineLevel="0" collapsed="false">
      <c r="A17" s="0" t="s">
        <v>467</v>
      </c>
    </row>
    <row r="18" customFormat="false" ht="15" hidden="false" customHeight="false" outlineLevel="0" collapsed="false">
      <c r="A18" s="0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20"/>
  </cols>
  <sheetData>
    <row r="1" customFormat="false" ht="15" hidden="false" customHeight="false" outlineLevel="0" collapsed="false">
      <c r="A1" s="1" t="s">
        <v>469</v>
      </c>
    </row>
    <row r="3" customFormat="false" ht="15" hidden="false" customHeight="false" outlineLevel="0" collapsed="false">
      <c r="A3" s="1" t="s">
        <v>470</v>
      </c>
    </row>
    <row r="4" customFormat="false" ht="15" hidden="false" customHeight="false" outlineLevel="0" collapsed="false">
      <c r="A4" s="0" t="s">
        <v>231</v>
      </c>
      <c r="B4" s="0" t="s">
        <v>471</v>
      </c>
      <c r="C4" s="0" t="s">
        <v>472</v>
      </c>
    </row>
    <row r="5" customFormat="false" ht="15" hidden="false" customHeight="false" outlineLevel="0" collapsed="false">
      <c r="A5" s="0" t="s">
        <v>238</v>
      </c>
      <c r="B5" s="0" t="n">
        <f aca="false">S3_Model_parameters!D2</f>
        <v>15.1</v>
      </c>
      <c r="C5" s="0" t="s">
        <v>473</v>
      </c>
    </row>
    <row r="6" customFormat="false" ht="15" hidden="false" customHeight="false" outlineLevel="0" collapsed="false">
      <c r="A6" s="0" t="s">
        <v>243</v>
      </c>
      <c r="B6" s="0" t="n">
        <f aca="false">S3_Model_parameters!D3</f>
        <v>0.52</v>
      </c>
      <c r="C6" s="0" t="s">
        <v>473</v>
      </c>
    </row>
    <row r="7" customFormat="false" ht="15" hidden="false" customHeight="false" outlineLevel="0" collapsed="false">
      <c r="A7" s="0" t="s">
        <v>247</v>
      </c>
      <c r="B7" s="0" t="n">
        <f aca="false">S3_Model_parameters!D4</f>
        <v>0.98</v>
      </c>
      <c r="C7" s="0" t="s">
        <v>474</v>
      </c>
    </row>
    <row r="8" customFormat="false" ht="15" hidden="false" customHeight="false" outlineLevel="0" collapsed="false">
      <c r="A8" s="0" t="s">
        <v>251</v>
      </c>
      <c r="B8" s="0" t="n">
        <f aca="false">S3_Model_parameters!D5</f>
        <v>1</v>
      </c>
      <c r="C8" s="0" t="s">
        <v>475</v>
      </c>
    </row>
    <row r="9" customFormat="false" ht="15" hidden="false" customHeight="false" outlineLevel="0" collapsed="false">
      <c r="A9" s="0" t="s">
        <v>255</v>
      </c>
      <c r="B9" s="0" t="n">
        <f aca="false">S3_Model_parameters!D6</f>
        <v>1.1</v>
      </c>
      <c r="C9" s="0" t="s">
        <v>473</v>
      </c>
    </row>
    <row r="10" customFormat="false" ht="15" hidden="false" customHeight="false" outlineLevel="0" collapsed="false">
      <c r="A10" s="0" t="s">
        <v>259</v>
      </c>
      <c r="B10" s="0" t="n">
        <f aca="false">S3_Model_parameters!D7</f>
        <v>0.58</v>
      </c>
      <c r="C10" s="0" t="s">
        <v>473</v>
      </c>
    </row>
    <row r="11" customFormat="false" ht="15" hidden="false" customHeight="false" outlineLevel="0" collapsed="false">
      <c r="A11" s="0" t="s">
        <v>262</v>
      </c>
      <c r="B11" s="0" t="n">
        <f aca="false">S3_Model_parameters!D8</f>
        <v>0.9</v>
      </c>
      <c r="C11" s="0" t="s">
        <v>474</v>
      </c>
    </row>
    <row r="12" customFormat="false" ht="15" hidden="false" customHeight="false" outlineLevel="0" collapsed="false">
      <c r="A12" s="0" t="s">
        <v>265</v>
      </c>
      <c r="B12" s="0" t="n">
        <f aca="false">S3_Model_parameters!D9</f>
        <v>2.8</v>
      </c>
      <c r="C12" s="0" t="s">
        <v>473</v>
      </c>
    </row>
    <row r="13" customFormat="false" ht="15" hidden="false" customHeight="false" outlineLevel="0" collapsed="false">
      <c r="A13" s="0" t="s">
        <v>269</v>
      </c>
      <c r="B13" s="0" t="n">
        <f aca="false">S3_Model_parameters!D10</f>
        <v>1.4</v>
      </c>
      <c r="C13" s="0" t="s">
        <v>473</v>
      </c>
    </row>
    <row r="14" customFormat="false" ht="15" hidden="false" customHeight="false" outlineLevel="0" collapsed="false">
      <c r="A14" s="0" t="s">
        <v>273</v>
      </c>
      <c r="B14" s="0" t="n">
        <f aca="false">S3_Model_parameters!D11</f>
        <v>0.85</v>
      </c>
      <c r="C14" s="0" t="s">
        <v>474</v>
      </c>
    </row>
    <row r="15" customFormat="false" ht="15" hidden="false" customHeight="false" outlineLevel="0" collapsed="false">
      <c r="A15" s="0" t="s">
        <v>275</v>
      </c>
      <c r="B15" s="0" t="n">
        <f aca="false">S3_Model_parameters!D12</f>
        <v>0.5</v>
      </c>
      <c r="C15" s="0" t="s">
        <v>476</v>
      </c>
    </row>
    <row r="16" customFormat="false" ht="15" hidden="false" customHeight="false" outlineLevel="0" collapsed="false">
      <c r="A16" s="0" t="s">
        <v>278</v>
      </c>
      <c r="B16" s="0" t="n">
        <f aca="false">S3_Model_parameters!D13</f>
        <v>0.5</v>
      </c>
      <c r="C16" s="0" t="s">
        <v>475</v>
      </c>
    </row>
    <row r="17" customFormat="false" ht="15" hidden="false" customHeight="false" outlineLevel="0" collapsed="false">
      <c r="A17" s="0" t="s">
        <v>280</v>
      </c>
      <c r="B17" s="0" t="n">
        <f aca="false">S3_Model_parameters!D14</f>
        <v>2.29</v>
      </c>
      <c r="C17" s="0" t="s">
        <v>477</v>
      </c>
    </row>
    <row r="18" customFormat="false" ht="15" hidden="false" customHeight="false" outlineLevel="0" collapsed="false">
      <c r="A18" s="0" t="s">
        <v>285</v>
      </c>
      <c r="B18" s="0" t="n">
        <f aca="false">S3_Model_parameters!D15</f>
        <v>0.5</v>
      </c>
      <c r="C18" s="0" t="s">
        <v>478</v>
      </c>
    </row>
    <row r="19" customFormat="false" ht="15" hidden="false" customHeight="false" outlineLevel="0" collapsed="false">
      <c r="A19" s="0" t="s">
        <v>288</v>
      </c>
      <c r="B19" s="0" t="n">
        <f aca="false">S3_Model_parameters!D16</f>
        <v>0</v>
      </c>
      <c r="C19" s="0" t="s">
        <v>479</v>
      </c>
    </row>
    <row r="20" customFormat="false" ht="15" hidden="false" customHeight="false" outlineLevel="0" collapsed="false">
      <c r="A20" s="0" t="s">
        <v>291</v>
      </c>
      <c r="B20" s="0" t="n">
        <f aca="false">S3_Model_parameters!D17</f>
        <v>0.15</v>
      </c>
      <c r="C20" s="0" t="s">
        <v>480</v>
      </c>
    </row>
    <row r="21" customFormat="false" ht="15" hidden="false" customHeight="false" outlineLevel="0" collapsed="false">
      <c r="A21" s="0" t="s">
        <v>299</v>
      </c>
      <c r="B21" s="0" t="n">
        <f aca="false">S3_Model_parameters!D19</f>
        <v>29.84</v>
      </c>
      <c r="C21" s="0" t="s">
        <v>481</v>
      </c>
    </row>
    <row r="22" customFormat="false" ht="15" hidden="false" customHeight="false" outlineLevel="0" collapsed="false">
      <c r="A22" s="0" t="s">
        <v>303</v>
      </c>
      <c r="B22" s="0" t="n">
        <f aca="false">S3_Model_parameters!D20</f>
        <v>39.7</v>
      </c>
      <c r="C22" s="0" t="s">
        <v>481</v>
      </c>
    </row>
    <row r="23" customFormat="false" ht="15" hidden="false" customHeight="false" outlineLevel="0" collapsed="false">
      <c r="A23" s="0" t="s">
        <v>306</v>
      </c>
      <c r="B23" s="0" t="n">
        <f aca="false">S3_Model_parameters!D21</f>
        <v>788</v>
      </c>
      <c r="C23" s="0" t="s">
        <v>481</v>
      </c>
    </row>
    <row r="24" customFormat="false" ht="15" hidden="false" customHeight="false" outlineLevel="0" collapsed="false">
      <c r="A24" s="0" t="s">
        <v>482</v>
      </c>
      <c r="B24" s="3" t="n">
        <v>1000</v>
      </c>
      <c r="C24" s="4" t="s">
        <v>483</v>
      </c>
    </row>
    <row r="25" customFormat="false" ht="15" hidden="false" customHeight="false" outlineLevel="0" collapsed="false">
      <c r="A25" s="0" t="s">
        <v>484</v>
      </c>
      <c r="B25" s="3" t="n">
        <v>500</v>
      </c>
      <c r="C25" s="4" t="s">
        <v>483</v>
      </c>
    </row>
    <row r="26" customFormat="false" ht="15" hidden="false" customHeight="false" outlineLevel="0" collapsed="false">
      <c r="A26" s="0" t="s">
        <v>485</v>
      </c>
      <c r="B26" s="3" t="n">
        <v>500</v>
      </c>
      <c r="C26" s="4" t="s">
        <v>483</v>
      </c>
    </row>
    <row r="27" customFormat="false" ht="15" hidden="false" customHeight="false" outlineLevel="0" collapsed="false">
      <c r="A27" s="1" t="s">
        <v>486</v>
      </c>
    </row>
    <row r="28" customFormat="false" ht="15" hidden="false" customHeight="false" outlineLevel="0" collapsed="false">
      <c r="A28" s="1" t="s">
        <v>324</v>
      </c>
      <c r="B28" s="1" t="s">
        <v>487</v>
      </c>
      <c r="C28" s="1" t="s">
        <v>488</v>
      </c>
      <c r="D28" s="1" t="s">
        <v>489</v>
      </c>
      <c r="E28" s="1" t="s">
        <v>490</v>
      </c>
      <c r="F28" s="1" t="s">
        <v>491</v>
      </c>
      <c r="G28" s="1" t="s">
        <v>492</v>
      </c>
      <c r="H28" s="1" t="s">
        <v>493</v>
      </c>
      <c r="I28" s="1" t="s">
        <v>494</v>
      </c>
      <c r="J28" s="1" t="s">
        <v>495</v>
      </c>
      <c r="K28" s="1" t="s">
        <v>496</v>
      </c>
    </row>
    <row r="29" customFormat="false" ht="15" hidden="false" customHeight="false" outlineLevel="0" collapsed="false">
      <c r="A29" s="0" t="s">
        <v>342</v>
      </c>
      <c r="B29" s="3" t="n">
        <v>0.71</v>
      </c>
      <c r="C29" s="3" t="n">
        <v>0.801</v>
      </c>
      <c r="D29" s="3" t="n">
        <v>0.483</v>
      </c>
      <c r="E29" s="4" t="n">
        <f aca="false">$B$19</f>
        <v>0</v>
      </c>
      <c r="F29" s="4" t="n">
        <f aca="false">($B$21/1000)*($B$5+$B$8)-($B$21/1000)*B29*$B$7*($B$5-$B$6)+($B$21/1000)*$B$24/1000*$B$20</f>
        <v>0.18218024224</v>
      </c>
      <c r="G29" s="4" t="n">
        <f aca="false">($B$22/1000)*($B$12+$B$16)-($B$22/1000)*D29*$B$14*$B$15*($B$12-$B$13)+($B$22/1000)*(1-D29)*E29*$B$17+($B$22/1000)*$B$25/1000*$B$20</f>
        <v>0.1225783155</v>
      </c>
      <c r="H29" s="4" t="n">
        <f aca="false">($B$23/1000)*$B$9-($B$23/1000)*C29*$B$11*$B$10+($B$23/1000)*$B$26/1000*$B$20</f>
        <v>0.596419864</v>
      </c>
      <c r="I29" s="4" t="n">
        <f aca="false">F29/G29</f>
        <v>1.48623548542727</v>
      </c>
      <c r="J29" s="4" t="n">
        <f aca="false">H29/G29</f>
        <v>4.8656229412779</v>
      </c>
      <c r="K29" s="4" t="n">
        <f aca="false">(($B$21/1000)*($B$5+$B$8)+($B$21/1000)*$B$24/1000*$B$20-G29)/(($B$21/1000)*$B$7*($B$5-$B$6))</f>
        <v>0.849790571644649</v>
      </c>
    </row>
    <row r="30" customFormat="false" ht="15" hidden="false" customHeight="false" outlineLevel="0" collapsed="false">
      <c r="A30" s="0" t="s">
        <v>497</v>
      </c>
      <c r="B30" s="3" t="n">
        <v>0.85</v>
      </c>
      <c r="C30" s="3" t="n">
        <v>0.6</v>
      </c>
      <c r="D30" s="3" t="n">
        <v>0.7</v>
      </c>
      <c r="E30" s="4" t="n">
        <f aca="false">$B$18</f>
        <v>0.5</v>
      </c>
      <c r="F30" s="4" t="n">
        <f aca="false">($B$21/1000)*($B$5+$B$8)-($B$21/1000)*B30*$B$7*($B$5-$B$6)+($B$21/1000)*$B$24/1000*$B$20</f>
        <v>0.1224890224</v>
      </c>
      <c r="G30" s="4" t="n">
        <f aca="false">($B$22/1000)*($B$12+$B$16)-($B$22/1000)*D30*$B$14*$B$15*($B$12-$B$13)+($B$22/1000)*(1-D30)*E30*$B$17+($B$22/1000)*$B$25/1000*$B$20</f>
        <v>0.1310894</v>
      </c>
      <c r="H30" s="4" t="n">
        <f aca="false">($B$23/1000)*$B$9-($B$23/1000)*C30*$B$11*$B$10+($B$23/1000)*$B$26/1000*$B$20</f>
        <v>0.6790984</v>
      </c>
      <c r="I30" s="4" t="n">
        <f aca="false">F30/G30</f>
        <v>0.934393035592504</v>
      </c>
      <c r="J30" s="4" t="n">
        <f aca="false">H30/G30</f>
        <v>5.18042191054349</v>
      </c>
      <c r="K30" s="4" t="n">
        <f aca="false">(($B$21/1000)*($B$5+$B$8)+($B$21/1000)*$B$24/1000*$B$20-G30)/(($B$21/1000)*$B$7*($B$5-$B$6))</f>
        <v>0.829828643689517</v>
      </c>
    </row>
    <row r="31" customFormat="false" ht="15" hidden="false" customHeight="false" outlineLevel="0" collapsed="false">
      <c r="A31" s="0" t="s">
        <v>498</v>
      </c>
      <c r="B31" s="3" t="n">
        <v>0.85</v>
      </c>
      <c r="C31" s="3" t="n">
        <v>0.6</v>
      </c>
      <c r="D31" s="3" t="n">
        <v>0.9</v>
      </c>
      <c r="E31" s="4" t="n">
        <f aca="false">$B$18</f>
        <v>0.5</v>
      </c>
      <c r="F31" s="4" t="n">
        <f aca="false">($B$21/1000)*($B$5+$B$8)-($B$21/1000)*B31*$B$7*($B$5-$B$6)+($B$21/1000)*$B$24/1000*$B$20</f>
        <v>0.1224890224</v>
      </c>
      <c r="G31" s="4" t="n">
        <f aca="false">($B$22/1000)*($B$12+$B$16)-($B$22/1000)*D31*$B$14*$B$15*($B$12-$B$13)+($B$22/1000)*(1-D31)*E31*$B$17+($B$22/1000)*$B$25/1000*$B$20</f>
        <v>0.1172738</v>
      </c>
      <c r="H31" s="4" t="n">
        <f aca="false">($B$23/1000)*$B$9-($B$23/1000)*C31*$B$11*$B$10+($B$23/1000)*$B$26/1000*$B$20</f>
        <v>0.6790984</v>
      </c>
      <c r="I31" s="4" t="n">
        <f aca="false">F31/G31</f>
        <v>1.04447048189792</v>
      </c>
      <c r="J31" s="4" t="n">
        <f aca="false">H31/G31</f>
        <v>5.79070858111531</v>
      </c>
      <c r="K31" s="4" t="n">
        <f aca="false">(($B$21/1000)*($B$5+$B$8)+($B$21/1000)*$B$24/1000*$B$20-G31)/(($B$21/1000)*$B$7*($B$5-$B$6))</f>
        <v>0.862231801225659</v>
      </c>
    </row>
    <row r="32" customFormat="false" ht="15" hidden="false" customHeight="false" outlineLevel="0" collapsed="false">
      <c r="A32" s="0" t="s">
        <v>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2026-10-25T05:22:48Z</dcterms:created>
  <dc:creator>openpyxl</dc:creator>
  <dc:description/>
  <dc:language>en-US</dc:language>
  <cp:lastModifiedBy/>
  <dcterms:modified xsi:type="dcterms:W3CDTF">2026-10-25T16:15:19Z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