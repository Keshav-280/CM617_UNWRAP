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1_Extracted_pairs" sheetId="2" state="visible" r:id="rId4"/>
    <sheet name="S2b_Study_means" sheetId="3" state="visible" r:id="rId5"/>
    <sheet name="S2_Meta_analysis" sheetId="4" state="visible" r:id="rId6"/>
    <sheet name="S3_Moderators" sheetId="5" state="visible" r:id="rId7"/>
    <sheet name="S4_Sensitivity_LOO" sheetId="6" state="visible" r:id="rId8"/>
    <sheet name="S5_PRISMA_log" sheetId="7" state="visible" r:id="rId9"/>
    <sheet name="S6_Model_parameters" sheetId="8" state="visible" r:id="rId10"/>
    <sheet name="S7_Model_scenarios" sheetId="9" state="visible" r:id="rId11"/>
    <sheet name="S8_Model_sensitivity" sheetId="10" state="visible" r:id="rId12"/>
    <sheet name="S9_Crossover" sheetId="11" state="visible" r:id="rId13"/>
    <sheet name="S10_Base_case_model" sheetId="12" state="visible" r:id="rId14"/>
    <sheet name="S11_Honest_unit_params" sheetId="13" state="visible" r:id="rId15"/>
    <sheet name="S12_Honest_unit_results" sheetId="14" state="visible" r:id="rId16"/>
    <sheet name="S13_Residue_sources" sheetId="15" state="visible" r:id="rId17"/>
    <sheet name="S14_Excluded_close" sheetId="16" state="visible" r:id="rId18"/>
    <sheet name="S15_Reference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<sst xmlns="http://schemas.openxmlformats.org/spreadsheetml/2006/main" count="2109" uniqueCount="974">
  <si>
    <t xml:space="preserve">UNWRAP: Unpacking Whether Replacement Alternatives Perform (final data and results workbook)</t>
  </si>
  <si>
    <t xml:space="preserve">CM617 course project. Files: analysis.py (all analysis and figures), build_workbook.py (this workbook), paired_comparisons.csv (input data).</t>
  </si>
  <si>
    <t xml:space="preserve">Colour code: blue = input you can edit; black = formula or Python result; green = value linked from another sheet.</t>
  </si>
  <si>
    <t xml:space="preserve">Live sheets: S1 ratios, S2b and the lower block of S2 recalculate when GWP values in S1 change; S10 and S12 recalculate from S6 and S11.</t>
  </si>
  <si>
    <t xml:space="preserve">Bootstrap and Monte Carlo results (S2 top, S3, S4, S7 to S9, S12 top) come from analysis.py and update only when it is rerun.</t>
  </si>
  <si>
    <t xml:space="preserve">Data: 46 pairs from 23 studies; core pool 31 pairs from 16 studies.</t>
  </si>
  <si>
    <t xml:space="preserve">Pool codes (S1 column 'pool'): core = plastic baseline, format switch, same product, FMCG; sensitivity = added only in sensitivity runs;</t>
  </si>
  <si>
    <t xml:space="preserve">refill/reuse = same-material reuse or refill vs single-use (reported separately); not pooled = no plastic baseline or not a format switch.</t>
  </si>
  <si>
    <t xml:space="preserve">CHANGES FROM THE PREVIOUS VERSION (v4 report / v2 code)</t>
  </si>
  <si>
    <t xml:space="preserve">1. Added 10 studies (19 pairs): c7-consult/ALPLA, Wohner &amp; Tacker, Wohner PeerJ, Simon, Bertolini, BIO IS, Elopak, Kim &amp; Park, Krohnert &amp; Stucki, Japanese shampoo LCA; plus TERI PET vs returnable glass.</t>
  </si>
  <si>
    <t xml:space="preserve">2. Added home care and personal care pairs (detergent pods pouch, shampoo refills) and a new Pouch/refill class, as promised in the abstract.</t>
  </si>
  <si>
    <t xml:space="preserve">3. Headline now uses a clean core pool: Saleh (likely unit error), Pasqualino (different beverages), the takeaway tray (not FMCG) and the 30-use extra scenario moved to sensitivity.</t>
  </si>
  <si>
    <t xml:space="preserve">4. R-PET vs virgin PET removed from the pool (same format, not a switch).</t>
  </si>
  <si>
    <t xml:space="preserve">5. New coding columns: system boundary (packaging only vs incl. product, e.g. Amienyo), functional unit basis, data source, end of life stated, region, funder group.</t>
  </si>
  <si>
    <t xml:space="preserve">6. New moderator analysis (S3): class-adjusted test of whether boundary, functional unit, region, data source, funder or end-of-life reporting shifts the result.</t>
  </si>
  <si>
    <t xml:space="preserve">7. New leave-one-study-out check (S4) and wider sensitivity set. A classic funnel plot is not possible because studies do not report variances; this is stated in the report.</t>
  </si>
  <si>
    <t xml:space="preserve">8. Sponsor check is now computed from the data (sponsor_favours column), not hardcoded: sponsor's own material best in 4 of 5 industry-linked studies.</t>
  </si>
  <si>
    <t xml:space="preserve">9. PRISMA screening log and flow chart added (S5, fig0).</t>
  </si>
  <si>
    <t xml:space="preserve">10. NEW unique factor, Stage 3 honest unit test (S11 to S13): shampoo packs scored per kg of product actually used, using measured residue data.</t>
  </si>
  <si>
    <t xml:space="preserve">11. Stage 2 model unchanged; it now uses its own random seed so its numbers do not depend on Stage 1 (differences from v2 are below 0.01).</t>
  </si>
  <si>
    <t xml:space="preserve">12. Code cleaned: duplicate settings removed, header matches the figures, all outputs written to CSV/JSON.</t>
  </si>
  <si>
    <t xml:space="preserve">13. Verification: all 18 values taken from the ACE 2020 compilation were checked against its Tables 1 to 4; Krohnert &amp; Stucki values checked against the paper; the Japanese shampoo study was moved to sensitivity because its source could not be traced.</t>
  </si>
  <si>
    <t xml:space="preserve">14. Forest plot now shows only the core pool with numeric ratios; non-core pairs moved to an appendix figure; characteristics-of-included-studies table added.</t>
  </si>
  <si>
    <t xml:space="preserve">Remaining caveats: 18 values come from the ACE 2020 compilation (commissioned by the beverage carton industry); they match that table but the original papers were not all accessible. Replace scoping record counts with database export counts if available.</t>
  </si>
  <si>
    <t xml:space="preserve">pair_id</t>
  </si>
  <si>
    <t xml:space="preserve">study_id</t>
  </si>
  <si>
    <t xml:space="preserve">short_name</t>
  </si>
  <si>
    <t xml:space="preserve">study</t>
  </si>
  <si>
    <t xml:space="preserve">year</t>
  </si>
  <si>
    <t xml:space="preserve">region</t>
  </si>
  <si>
    <t xml:space="preserve">region_group</t>
  </si>
  <si>
    <t xml:space="preserve">sector</t>
  </si>
  <si>
    <t xml:space="preserve">product_group</t>
  </si>
  <si>
    <t xml:space="preserve">functional_unit</t>
  </si>
  <si>
    <t xml:space="preserve">conventional</t>
  </si>
  <si>
    <t xml:space="preserve">alternative</t>
  </si>
  <si>
    <t xml:space="preserve">gwp_conventional</t>
  </si>
  <si>
    <t xml:space="preserve">gwp_alternative</t>
  </si>
  <si>
    <t xml:space="preserve">ratio_alt_over_conv</t>
  </si>
  <si>
    <t xml:space="preserve">ln_ratio</t>
  </si>
  <si>
    <t xml:space="preserve">unit</t>
  </si>
  <si>
    <t xml:space="preserve">how_value_obtained</t>
  </si>
  <si>
    <t xml:space="preserve">data_source</t>
  </si>
  <si>
    <t xml:space="preserve">boundary</t>
  </si>
  <si>
    <t xml:space="preserve">unit_basis</t>
  </si>
  <si>
    <t xml:space="preserve">eol_stated</t>
  </si>
  <si>
    <t xml:space="preserve">sponsor_type</t>
  </si>
  <si>
    <t xml:space="preserve">funder_group</t>
  </si>
  <si>
    <t xml:space="preserve">sponsor_material</t>
  </si>
  <si>
    <t xml:space="preserve">best_material_in_study</t>
  </si>
  <si>
    <t xml:space="preserve">sponsor_favours</t>
  </si>
  <si>
    <t xml:space="preserve">alt_class</t>
  </si>
  <si>
    <t xml:space="preserve">pool</t>
  </si>
  <si>
    <t xml:space="preserve">pool_reason</t>
  </si>
  <si>
    <t xml:space="preserve">comparability_caveat</t>
  </si>
  <si>
    <t xml:space="preserve">source_url</t>
  </si>
  <si>
    <t xml:space="preserve">P01</t>
  </si>
  <si>
    <t xml:space="preserve">S1</t>
  </si>
  <si>
    <t xml:space="preserve">De Feo</t>
  </si>
  <si>
    <t xml:space="preserve">De Feo et al. (mineral water eco-efficiency)</t>
  </si>
  <si>
    <t xml:space="preserve">n/r</t>
  </si>
  <si>
    <t xml:space="preserve">Italy</t>
  </si>
  <si>
    <t xml:space="preserve">Europe</t>
  </si>
  <si>
    <t xml:space="preserve">Bottled water</t>
  </si>
  <si>
    <t xml:space="preserve">Beverage</t>
  </si>
  <si>
    <t xml:space="preserve">1000 L</t>
  </si>
  <si>
    <t xml:space="preserve">PET 0.5 L</t>
  </si>
  <si>
    <t xml:space="preserve">Glass one-way 0.5 L</t>
  </si>
  <si>
    <t xml:space="preserve">kg CO2e</t>
  </si>
  <si>
    <t xml:space="preserve">Reported directly in abstract</t>
  </si>
  <si>
    <t xml:space="preserve">abstract/summary</t>
  </si>
  <si>
    <t xml:space="preserve">per volume</t>
  </si>
  <si>
    <t xml:space="preserve">no</t>
  </si>
  <si>
    <t xml:space="preserve">Academic</t>
  </si>
  <si>
    <t xml:space="preserve">Glass</t>
  </si>
  <si>
    <t xml:space="preserve">core</t>
  </si>
  <si>
    <t xml:space="preserve">https://www.iris.unisa.it/handle/11386/4958656</t>
  </si>
  <si>
    <t xml:space="preserve">P02</t>
  </si>
  <si>
    <t xml:space="preserve">Aluminium can 0.33 L</t>
  </si>
  <si>
    <t xml:space="preserve">Aluminium</t>
  </si>
  <si>
    <t xml:space="preserve">P03</t>
  </si>
  <si>
    <t xml:space="preserve">Aseptic carton 0.5 L</t>
  </si>
  <si>
    <t xml:space="preserve">Carton</t>
  </si>
  <si>
    <t xml:space="preserve">P04</t>
  </si>
  <si>
    <t xml:space="preserve">S2</t>
  </si>
  <si>
    <t xml:space="preserve">Ferrara 23</t>
  </si>
  <si>
    <t xml:space="preserve">Ferrara &amp; De Feo</t>
  </si>
  <si>
    <t xml:space="preserve">2023</t>
  </si>
  <si>
    <t xml:space="preserve">Italy/EU destinations</t>
  </si>
  <si>
    <t xml:space="preserve">Olive oil</t>
  </si>
  <si>
    <t xml:space="preserve">Food</t>
  </si>
  <si>
    <t xml:space="preserve">1000 L EVOO</t>
  </si>
  <si>
    <t xml:space="preserve">100% recycled PET bottle</t>
  </si>
  <si>
    <t xml:space="preserve">Glass bottle</t>
  </si>
  <si>
    <t xml:space="preserve">Midpoint of reported ranges (PET 459-634; glass 790-1137)</t>
  </si>
  <si>
    <t xml:space="preserve">https://www.iris.unisa.it/handle/11386/4840897</t>
  </si>
  <si>
    <t xml:space="preserve">P05</t>
  </si>
  <si>
    <t xml:space="preserve">S3</t>
  </si>
  <si>
    <t xml:space="preserve">NAPCOR*</t>
  </si>
  <si>
    <t xml:space="preserve">NAPCOR LCA (conducted by Franklin Associates per trade press)</t>
  </si>
  <si>
    <t xml:space="preserve">USA</t>
  </si>
  <si>
    <t xml:space="preserve">Outside Europe</t>
  </si>
  <si>
    <t xml:space="preserve">Water/CSD</t>
  </si>
  <si>
    <t xml:space="preserve">per container (16.9 oz PET vs 12 oz can)</t>
  </si>
  <si>
    <t xml:space="preserve">PET bottle 16.9 oz</t>
  </si>
  <si>
    <t xml:space="preserve">Aluminium can 12 oz</t>
  </si>
  <si>
    <t xml:space="preserve">index (Al=100)</t>
  </si>
  <si>
    <t xml:space="preserve">PET reported as 74% lower than Al can; Al set to 100</t>
  </si>
  <si>
    <t xml:space="preserve">packaging only</t>
  </si>
  <si>
    <t xml:space="preserve">per container</t>
  </si>
  <si>
    <t xml:space="preserve">Industry (PET trade body)</t>
  </si>
  <si>
    <t xml:space="preserve">Industry-linked</t>
  </si>
  <si>
    <t xml:space="preserve">PET</t>
  </si>
  <si>
    <t xml:space="preserve">yes</t>
  </si>
  <si>
    <t xml:space="preserve">Per container (index, Al can = 100); industry (PET trade body)</t>
  </si>
  <si>
    <t xml:space="preserve">https://napcor.com/news/pet-plastic-bottles-have-a-significantly-lower-environmental-impact-compared-to-glass-bottles-and-aluminum-cans/</t>
  </si>
  <si>
    <t xml:space="preserve">P06</t>
  </si>
  <si>
    <t xml:space="preserve">S4</t>
  </si>
  <si>
    <t xml:space="preserve">SDL</t>
  </si>
  <si>
    <t xml:space="preserve">Saudi Digital Library repository study (carbonated drinks)</t>
  </si>
  <si>
    <t xml:space="preserve">Unknown</t>
  </si>
  <si>
    <t xml:space="preserve">Carbonated drinks</t>
  </si>
  <si>
    <t xml:space="preserve">1 L</t>
  </si>
  <si>
    <t xml:space="preserve">PET bottle</t>
  </si>
  <si>
    <t xml:space="preserve">g CO2e</t>
  </si>
  <si>
    <t xml:space="preserve">Academic thesis/report</t>
  </si>
  <si>
    <t xml:space="preserve">https://drepo.sdl.edu.sa/items/b7c25e12-7df5-4086-a117-a66badf9f3b1</t>
  </si>
  <si>
    <t xml:space="preserve">P07</t>
  </si>
  <si>
    <t xml:space="preserve">S5</t>
  </si>
  <si>
    <t xml:space="preserve">iPoint carton*</t>
  </si>
  <si>
    <t xml:space="preserve">Carton-vs-bottle LCA summarised by iPoint (Combibloc carton)</t>
  </si>
  <si>
    <t xml:space="preserve">2021</t>
  </si>
  <si>
    <t xml:space="preserve">n/r (source discusses UK/US pints)</t>
  </si>
  <si>
    <t xml:space="preserve">Fresh milk</t>
  </si>
  <si>
    <t xml:space="preserve">Dairy</t>
  </si>
  <si>
    <t xml:space="preserve">PET bottle (disposable)</t>
  </si>
  <si>
    <t xml:space="preserve">Gable-top carton</t>
  </si>
  <si>
    <t xml:space="preserve">Carton 85 g and 45% lower than PET -&gt; PET=85/0.55</t>
  </si>
  <si>
    <t xml:space="preserve">Industry-linked (carton product LCA; funder not verified)</t>
  </si>
  <si>
    <t xml:space="preserve">Derived from % difference; funder not verified</t>
  </si>
  <si>
    <t xml:space="preserve">https://go.ipoint-systems.com/blog/whats-the-greenest-1-l-packaging-two-powerful-lcas-give-the-answer</t>
  </si>
  <si>
    <t xml:space="preserve">P08</t>
  </si>
  <si>
    <t xml:space="preserve">HDPE multilayer bottle</t>
  </si>
  <si>
    <t xml:space="preserve">Carton 85 g and 34% lower than HDPE -&gt; HDPE=85/0.66</t>
  </si>
  <si>
    <t xml:space="preserve">P09</t>
  </si>
  <si>
    <t xml:space="preserve">S6</t>
  </si>
  <si>
    <t xml:space="preserve">Gallego-S.</t>
  </si>
  <si>
    <t xml:space="preserve">Gallego-Schmid et al.</t>
  </si>
  <si>
    <t xml:space="preserve">2019</t>
  </si>
  <si>
    <t xml:space="preserve">EU</t>
  </si>
  <si>
    <t xml:space="preserve">Takeaway food container</t>
  </si>
  <si>
    <t xml:space="preserve">PP single-use</t>
  </si>
  <si>
    <t xml:space="preserve">Aluminium single-use</t>
  </si>
  <si>
    <t xml:space="preserve">index (EPS=1)</t>
  </si>
  <si>
    <t xml:space="preserve">EPS = 50% of Al and one-third of PP -&gt; EPS=1 Al=2 PP=3</t>
  </si>
  <si>
    <t xml:space="preserve">sensitivity</t>
  </si>
  <si>
    <t xml:space="preserve">Foodservice takeaway tray, outside FMCG scope (protocol rule 1)</t>
  </si>
  <si>
    <t xml:space="preserve">Index (EPS = 1) derived from stated percentages; per container</t>
  </si>
  <si>
    <t xml:space="preserve">https://www.manchester.ac.uk/discover/news/takeaway-containers--the-environmental-cost-of-packing-our-favourite-fast-foods</t>
  </si>
  <si>
    <t xml:space="preserve">P10</t>
  </si>
  <si>
    <t xml:space="preserve">S7</t>
  </si>
  <si>
    <t xml:space="preserve">TERI*</t>
  </si>
  <si>
    <t xml:space="preserve">TERI for Ball Corporation</t>
  </si>
  <si>
    <t xml:space="preserve">2022</t>
  </si>
  <si>
    <t xml:space="preserve">India</t>
  </si>
  <si>
    <t xml:space="preserve">Beer</t>
  </si>
  <si>
    <t xml:space="preserve">1 L fill</t>
  </si>
  <si>
    <t xml:space="preserve">Glass bottle 650 mL</t>
  </si>
  <si>
    <t xml:space="preserve">Aluminium can 500 mL</t>
  </si>
  <si>
    <t xml:space="preserve">index (can=1)</t>
  </si>
  <si>
    <t xml:space="preserve">Text states glass GWP is 3.5x the can (Fig 16 = 352%)</t>
  </si>
  <si>
    <t xml:space="preserve">primary full text</t>
  </si>
  <si>
    <t xml:space="preserve">Industry (aluminium can maker)</t>
  </si>
  <si>
    <t xml:space="preserve">Aluminium vs glass</t>
  </si>
  <si>
    <t xml:space="preserve">not pooled</t>
  </si>
  <si>
    <t xml:space="preserve">No plastic baseline (aluminium vs glass)</t>
  </si>
  <si>
    <t xml:space="preserve">Industry (can maker); not pooled</t>
  </si>
  <si>
    <t xml:space="preserve">https://www.teriin.org/sites/default/files/2022-06/Sustainable-Beverage-Packaging-Final-Report.pdf</t>
  </si>
  <si>
    <t xml:space="preserve">P11</t>
  </si>
  <si>
    <t xml:space="preserve">Beverages</t>
  </si>
  <si>
    <t xml:space="preserve">Glass bottle 200 mL</t>
  </si>
  <si>
    <t xml:space="preserve">Text: 200 mL glass is 526% of the 500 mL can (Fig 9)</t>
  </si>
  <si>
    <t xml:space="preserve">P12</t>
  </si>
  <si>
    <t xml:space="preserve">S8</t>
  </si>
  <si>
    <t xml:space="preserve">Stefanini</t>
  </si>
  <si>
    <t xml:space="preserve">Stefanini et al. (milk bottles)</t>
  </si>
  <si>
    <t xml:space="preserve">Milk</t>
  </si>
  <si>
    <t xml:space="preserve">Glass non-returnable</t>
  </si>
  <si>
    <t xml:space="preserve">Total GWP from Tables 8 and 10</t>
  </si>
  <si>
    <t xml:space="preserve">https://doi.org/10.1007/s11367-020-01804-x</t>
  </si>
  <si>
    <t xml:space="preserve">P13</t>
  </si>
  <si>
    <t xml:space="preserve">Returnable glass (8 uses)</t>
  </si>
  <si>
    <t xml:space="preserve">Fig. 9 (8 uses = 2.08E-01)</t>
  </si>
  <si>
    <t xml:space="preserve">Reusable glass</t>
  </si>
  <si>
    <t xml:space="preserve">P14</t>
  </si>
  <si>
    <t xml:space="preserve">Returnable glass (30 uses)</t>
  </si>
  <si>
    <t xml:space="preserve">Fig. 9 (30 uses = 1.85E-01)</t>
  </si>
  <si>
    <t xml:space="preserve">Extra scenario of same study (30 uses); baseline is 8 uses (pair rule)</t>
  </si>
  <si>
    <t xml:space="preserve">P15</t>
  </si>
  <si>
    <t xml:space="preserve">PET bottle (virgin)</t>
  </si>
  <si>
    <t xml:space="preserve">R-PET bottle (50% recycled)</t>
  </si>
  <si>
    <t xml:space="preserve">Tables 8 and 9</t>
  </si>
  <si>
    <t xml:space="preserve">Recycled PET</t>
  </si>
  <si>
    <t xml:space="preserve">Same format with recycled content, not a packaging switch</t>
  </si>
  <si>
    <t xml:space="preserve">P16</t>
  </si>
  <si>
    <t xml:space="preserve">S9</t>
  </si>
  <si>
    <t xml:space="preserve">Pasqualino</t>
  </si>
  <si>
    <t xml:space="preserve">Pasqualino et al. (as tabulated in Stefanini 2021 Table 1)</t>
  </si>
  <si>
    <t xml:space="preserve">2011</t>
  </si>
  <si>
    <t xml:space="preserve">Spain</t>
  </si>
  <si>
    <t xml:space="preserve">PET 1.5 L water</t>
  </si>
  <si>
    <t xml:space="preserve">Aseptic carton 1 L juice</t>
  </si>
  <si>
    <t xml:space="preserve">kg CO2e/L</t>
  </si>
  <si>
    <t xml:space="preserve">Secondary citation in open-access Table 1 (different beverages)</t>
  </si>
  <si>
    <t xml:space="preserve">second-hand table</t>
  </si>
  <si>
    <t xml:space="preserve">incl. product</t>
  </si>
  <si>
    <t xml:space="preserve">Different beverages (water vs juice)</t>
  </si>
  <si>
    <t xml:space="preserve">Compares different beverages (PET water vs carton juice); second-hand</t>
  </si>
  <si>
    <t xml:space="preserve">P17</t>
  </si>
  <si>
    <t xml:space="preserve">Aluminium can 0.33 L beer</t>
  </si>
  <si>
    <t xml:space="preserve">Different beverages (water vs beer)</t>
  </si>
  <si>
    <t xml:space="preserve">Compares different beverages (PET water vs beer can); second-hand</t>
  </si>
  <si>
    <t xml:space="preserve">P18</t>
  </si>
  <si>
    <t xml:space="preserve">S10</t>
  </si>
  <si>
    <t xml:space="preserve">Amienyo</t>
  </si>
  <si>
    <t xml:space="preserve">Amienyo et al. (carbonated soft drinks; as tabulated in Stefanini 2021)</t>
  </si>
  <si>
    <t xml:space="preserve">2013</t>
  </si>
  <si>
    <t xml:space="preserve">UK</t>
  </si>
  <si>
    <t xml:space="preserve">Glass 0.75 L</t>
  </si>
  <si>
    <t xml:space="preserve">Secondary citation in open-access Table 1</t>
  </si>
  <si>
    <t xml:space="preserve">Second-hand (Stefanini Table 1)</t>
  </si>
  <si>
    <t xml:space="preserve">P19</t>
  </si>
  <si>
    <t xml:space="preserve">Second-hand</t>
  </si>
  <si>
    <t xml:space="preserve">P20</t>
  </si>
  <si>
    <t xml:space="preserve">PET 2 L</t>
  </si>
  <si>
    <t xml:space="preserve">P21</t>
  </si>
  <si>
    <t xml:space="preserve">P22</t>
  </si>
  <si>
    <t xml:space="preserve">S11</t>
  </si>
  <si>
    <t xml:space="preserve">Saleh</t>
  </si>
  <si>
    <t xml:space="preserve">Saleh (Palestine; as tabulated in Stefanini 2021)</t>
  </si>
  <si>
    <t xml:space="preserve">2015</t>
  </si>
  <si>
    <t xml:space="preserve">Palestine</t>
  </si>
  <si>
    <t xml:space="preserve">1000 L (units as tabulated)</t>
  </si>
  <si>
    <t xml:space="preserve">Glass 0.33 L</t>
  </si>
  <si>
    <t xml:space="preserve">as tabulated (kg CO2e per FU)</t>
  </si>
  <si>
    <t xml:space="preserve">Secondary citation in open-access Table 1; extreme ratio - flagged as possible unit issue</t>
  </si>
  <si>
    <t xml:space="preserve">Extreme ratio (58x), likely unit error</t>
  </si>
  <si>
    <t xml:space="preserve">Extreme ratio - possible unit issue; second-hand</t>
  </si>
  <si>
    <t xml:space="preserve">P23</t>
  </si>
  <si>
    <t xml:space="preserve">Extreme ratio, likely unit error</t>
  </si>
  <si>
    <t xml:space="preserve">P24</t>
  </si>
  <si>
    <t xml:space="preserve">S12</t>
  </si>
  <si>
    <t xml:space="preserve">Mata&amp;Costa</t>
  </si>
  <si>
    <t xml:space="preserve">Mata &amp; Costa (beer bottles; as tabulated in Stefanini 2021)</t>
  </si>
  <si>
    <t xml:space="preserve">2001</t>
  </si>
  <si>
    <t xml:space="preserve">Portugal</t>
  </si>
  <si>
    <t xml:space="preserve">0.33 L bottle</t>
  </si>
  <si>
    <t xml:space="preserve">Glass non-returnable (cycle 1)</t>
  </si>
  <si>
    <t xml:space="preserve">Glass returnable (cycle 1)</t>
  </si>
  <si>
    <t xml:space="preserve">Reuse vs single-use</t>
  </si>
  <si>
    <t xml:space="preserve">Cycle 1 = bottle not yet reused</t>
  </si>
  <si>
    <t xml:space="preserve">Second-hand; not pooled</t>
  </si>
  <si>
    <t xml:space="preserve">P25</t>
  </si>
  <si>
    <t xml:space="preserve">Glass non-returnable (cycle 6)</t>
  </si>
  <si>
    <t xml:space="preserve">Glass returnable (cycle 6)</t>
  </si>
  <si>
    <t xml:space="preserve">refill/reuse</t>
  </si>
  <si>
    <t xml:space="preserve">Same-material reuse vs single-use (no plastic baseline)</t>
  </si>
  <si>
    <t xml:space="preserve">P26</t>
  </si>
  <si>
    <t xml:space="preserve">S13</t>
  </si>
  <si>
    <t xml:space="preserve">Ferrara 21</t>
  </si>
  <si>
    <t xml:space="preserve">Ferrara et al. (mineral water)</t>
  </si>
  <si>
    <t xml:space="preserve">Natural water</t>
  </si>
  <si>
    <t xml:space="preserve">PET 1 L</t>
  </si>
  <si>
    <t xml:space="preserve">Reusable glass (7 uses)</t>
  </si>
  <si>
    <t xml:space="preserve">Sum of stage values in Fig. 4a</t>
  </si>
  <si>
    <t xml:space="preserve">https://doi.org/10.3390/recycling6030050</t>
  </si>
  <si>
    <t xml:space="preserve">P27</t>
  </si>
  <si>
    <t xml:space="preserve">Sparkling water</t>
  </si>
  <si>
    <t xml:space="preserve">P28</t>
  </si>
  <si>
    <t xml:space="preserve">S14</t>
  </si>
  <si>
    <t xml:space="preserve">c7-consult*</t>
  </si>
  <si>
    <t xml:space="preserve">c7-consult for ALPLA (milk and juice bottles; via ACE 2020)</t>
  </si>
  <si>
    <t xml:space="preserve">Austria</t>
  </si>
  <si>
    <t xml:space="preserve">PET bottle 1 L</t>
  </si>
  <si>
    <t xml:space="preserve">Beverage carton 1 L</t>
  </si>
  <si>
    <t xml:space="preserve">g CO2e/L</t>
  </si>
  <si>
    <t xml:space="preserve">Second-hand, checked against ACE 2020 Tables 1-2 (ref 7)</t>
  </si>
  <si>
    <t xml:space="preserve">Industry (PET bottle maker ALPLA)</t>
  </si>
  <si>
    <t xml:space="preserve">Wohner &amp; Tacker 2020 (Circular Analytics for ACE) Tables 1-4; https://www.tetrapak.com/content/dam/tetrapak/publicweb/gb/en/sustainability/20-011-Circular-Analytics_ACE-Full-report_2021-01-25.pdf</t>
  </si>
  <si>
    <t xml:space="preserve">P29</t>
  </si>
  <si>
    <t xml:space="preserve">Glass one-way 1 L</t>
  </si>
  <si>
    <t xml:space="preserve">Second-hand, checked against ACE 2020 Tables 2-3</t>
  </si>
  <si>
    <t xml:space="preserve">P30</t>
  </si>
  <si>
    <t xml:space="preserve">Reusable glass 1 L</t>
  </si>
  <si>
    <t xml:space="preserve">Second-hand, checked against ACE 2020 Tables 2 and 4</t>
  </si>
  <si>
    <t xml:space="preserve">P31</t>
  </si>
  <si>
    <t xml:space="preserve">Juice</t>
  </si>
  <si>
    <t xml:space="preserve">1 L (scaled from 0.5 L)</t>
  </si>
  <si>
    <t xml:space="preserve">PET bottle 0.5 L</t>
  </si>
  <si>
    <t xml:space="preserve">P32</t>
  </si>
  <si>
    <t xml:space="preserve">Reusable glass 0.5 L</t>
  </si>
  <si>
    <t xml:space="preserve">P33</t>
  </si>
  <si>
    <t xml:space="preserve">S15</t>
  </si>
  <si>
    <t xml:space="preserve">Wohner&amp;Tacker</t>
  </si>
  <si>
    <t xml:space="preserve">Wohner &amp; Tacker (milk packaging; via ACE 2020)</t>
  </si>
  <si>
    <t xml:space="preserve">Second-hand, checked against ACE 2020 Tables 2-3 (ref 8); carton value under NDA</t>
  </si>
  <si>
    <t xml:space="preserve">Unclear</t>
  </si>
  <si>
    <t xml:space="preserve">Other/unclear</t>
  </si>
  <si>
    <t xml:space="preserve">P34</t>
  </si>
  <si>
    <t xml:space="preserve">S16</t>
  </si>
  <si>
    <t xml:space="preserve">Wohner PeerJ</t>
  </si>
  <si>
    <t xml:space="preserve">Wohner et al. (PeerJ 7:e7578; via ACE 2020)</t>
  </si>
  <si>
    <t xml:space="preserve">Second-hand, checked against ACE 2020 Tables 1 and 3 (ref 2)</t>
  </si>
  <si>
    <t xml:space="preserve">Glass vs carton</t>
  </si>
  <si>
    <t xml:space="preserve">No plastic baseline (carton vs glass)</t>
  </si>
  <si>
    <t xml:space="preserve">https://peerj.com/articles/7578/</t>
  </si>
  <si>
    <t xml:space="preserve">P35</t>
  </si>
  <si>
    <t xml:space="preserve">S17</t>
  </si>
  <si>
    <t xml:space="preserve">Simon</t>
  </si>
  <si>
    <t xml:space="preserve">Simon, Amor &amp; Foldenyi (J Clean Prod 112:238; via ACE 2020)</t>
  </si>
  <si>
    <t xml:space="preserve">2016</t>
  </si>
  <si>
    <t xml:space="preserve">Hungary</t>
  </si>
  <si>
    <t xml:space="preserve">Second-hand, checked against ACE 2020 Tables 2-3 (ref 4)</t>
  </si>
  <si>
    <t xml:space="preserve">P36</t>
  </si>
  <si>
    <t xml:space="preserve">Second-hand, checked against ACE 2020 Tables 1-2</t>
  </si>
  <si>
    <t xml:space="preserve">P37</t>
  </si>
  <si>
    <t xml:space="preserve">S18</t>
  </si>
  <si>
    <t xml:space="preserve">Bertolini</t>
  </si>
  <si>
    <t xml:space="preserve">Bertolini et al. (Packag Technol Sci 29:525; via ACE 2020)</t>
  </si>
  <si>
    <t xml:space="preserve">ESL milk</t>
  </si>
  <si>
    <t xml:space="preserve">Second-hand, checked against ACE 2020 Tables 1-2 (ref 5)</t>
  </si>
  <si>
    <t xml:space="preserve">Academic (funder not verified)</t>
  </si>
  <si>
    <t xml:space="preserve">P38</t>
  </si>
  <si>
    <t xml:space="preserve">S19</t>
  </si>
  <si>
    <t xml:space="preserve">BIO IS wine</t>
  </si>
  <si>
    <t xml:space="preserve">BIO Intelligence Service (Nordic wine packaging; via ACE 2020)</t>
  </si>
  <si>
    <t xml:space="preserve">2010</t>
  </si>
  <si>
    <t xml:space="preserve">Nordic countries</t>
  </si>
  <si>
    <t xml:space="preserve">Wine</t>
  </si>
  <si>
    <t xml:space="preserve">1 L (0.75 L packs)</t>
  </si>
  <si>
    <t xml:space="preserve">PET bottle 0.75 L</t>
  </si>
  <si>
    <t xml:space="preserve">Glass one-way 0.75 L</t>
  </si>
  <si>
    <t xml:space="preserve">Second-hand, checked against ACE 2020 Tables 2-3 (ref 12)</t>
  </si>
  <si>
    <t xml:space="preserve">Commissioned by Nordic alcohol retailers (not a material maker)</t>
  </si>
  <si>
    <t xml:space="preserve">P39</t>
  </si>
  <si>
    <t xml:space="preserve">Beverage carton</t>
  </si>
  <si>
    <t xml:space="preserve">P40</t>
  </si>
  <si>
    <t xml:space="preserve">S20</t>
  </si>
  <si>
    <t xml:space="preserve">Elopak*</t>
  </si>
  <si>
    <t xml:space="preserve">Sapienza &amp; Spray for Elopak (aseptic juice; via ACE 2020)</t>
  </si>
  <si>
    <t xml:space="preserve">Juice (aseptic)</t>
  </si>
  <si>
    <t xml:space="preserve">Second-hand, checked against ACE 2020 Tables 1-2 (ref 10)</t>
  </si>
  <si>
    <t xml:space="preserve">Industry (carton maker Elopak)</t>
  </si>
  <si>
    <t xml:space="preserve">Two Elopak reports treated as one study</t>
  </si>
  <si>
    <t xml:space="preserve">P41</t>
  </si>
  <si>
    <t xml:space="preserve">Sapienza &amp; Spray for Elopak (chilled juice; via ACE 2020)</t>
  </si>
  <si>
    <t xml:space="preserve">Juice (chilled)</t>
  </si>
  <si>
    <t xml:space="preserve">Second-hand, checked against ACE 2020 Tables 1-2 (ref 11)</t>
  </si>
  <si>
    <t xml:space="preserve">P42</t>
  </si>
  <si>
    <t xml:space="preserve">S21</t>
  </si>
  <si>
    <t xml:space="preserve">Kim&amp;Park</t>
  </si>
  <si>
    <t xml:space="preserve">Kim &amp; Park (Sustainability 12:4669), liquid laundry detergent</t>
  </si>
  <si>
    <t xml:space="preserve">2020</t>
  </si>
  <si>
    <t xml:space="preserve">North America</t>
  </si>
  <si>
    <t xml:space="preserve">Laundry detergent</t>
  </si>
  <si>
    <t xml:space="preserve">Home care</t>
  </si>
  <si>
    <t xml:space="preserve">10,000 loads</t>
  </si>
  <si>
    <t xml:space="preserve">HDPE bottle (25% PCR), liquid</t>
  </si>
  <si>
    <t xml:space="preserve">Multilayer pouch with PVA pods</t>
  </si>
  <si>
    <t xml:space="preserve">kg CO2e per 10,000 loads</t>
  </si>
  <si>
    <t xml:space="preserve">Primary: Tables 3 and 5</t>
  </si>
  <si>
    <t xml:space="preserve">per use</t>
  </si>
  <si>
    <t xml:space="preserve">Unclear (data from a detergent maker)</t>
  </si>
  <si>
    <t xml:space="preserve">Pouch/refill</t>
  </si>
  <si>
    <t xml:space="preserve">Product form also changes (liquid to pods)</t>
  </si>
  <si>
    <t xml:space="preserve">https://www.mdpi.com/2071-1050/12/11/4669</t>
  </si>
  <si>
    <t xml:space="preserve">P43</t>
  </si>
  <si>
    <t xml:space="preserve">PET tub with PVA pods</t>
  </si>
  <si>
    <t xml:space="preserve">Primary: Tables 3 and 4</t>
  </si>
  <si>
    <t xml:space="preserve">Plastic to plastic</t>
  </si>
  <si>
    <t xml:space="preserve">Plastic to plastic; effect is the PVA pod film</t>
  </si>
  <si>
    <t xml:space="preserve">P44</t>
  </si>
  <si>
    <t xml:space="preserve">S22</t>
  </si>
  <si>
    <t xml:space="preserve">Krohnert&amp;Stucki</t>
  </si>
  <si>
    <t xml:space="preserve">Krohnert &amp; Stucki (Sustainability 13:8478), shampoo</t>
  </si>
  <si>
    <t xml:space="preserve">Switzerland</t>
  </si>
  <si>
    <t xml:space="preserve">Shampoo</t>
  </si>
  <si>
    <t xml:space="preserve">Personal care</t>
  </si>
  <si>
    <t xml:space="preserve">1 hair wash (9.5 g)</t>
  </si>
  <si>
    <t xml:space="preserve">New glass bottle with pump</t>
  </si>
  <si>
    <t xml:space="preserve">Refill (PE canister or PET pouch)</t>
  </si>
  <si>
    <t xml:space="preserve">g CO2e per wash (packaging only)</t>
  </si>
  <si>
    <t xml:space="preserve">Primary (checked): Section 3.2 packaging 6 g per wash; Section 4.3.3 refill about 70% lower</t>
  </si>
  <si>
    <t xml:space="preserve">Same-use refill vs single-use (glass baseline)</t>
  </si>
  <si>
    <t xml:space="preserve">Derived from stated percentage</t>
  </si>
  <si>
    <t xml:space="preserve">https://www.mdpi.com/2071-1050/13/15/8478</t>
  </si>
  <si>
    <t xml:space="preserve">P45</t>
  </si>
  <si>
    <t xml:space="preserve">S23</t>
  </si>
  <si>
    <t xml:space="preserve">Japan shampoo</t>
  </si>
  <si>
    <t xml:space="preserve">Japanese shampoo container LCA (LIME2)</t>
  </si>
  <si>
    <t xml:space="preserve">Japan</t>
  </si>
  <si>
    <t xml:space="preserve">1 use</t>
  </si>
  <si>
    <t xml:space="preserve">Pump bottle (plastic)</t>
  </si>
  <si>
    <t xml:space="preserve">Film refill pack</t>
  </si>
  <si>
    <t xml:space="preserve">g CO2 per use</t>
  </si>
  <si>
    <t xml:space="preserve">Abstract / results snippet only; authors and full text could not be traced</t>
  </si>
  <si>
    <t xml:space="preserve">Source details could not be verified (search snippet only)</t>
  </si>
  <si>
    <t xml:space="preserve">Abstract only; verify</t>
  </si>
  <si>
    <t xml:space="preserve">https://www.sciencedirect.com/science/article/pii/S2666784321000218</t>
  </si>
  <si>
    <t xml:space="preserve">P46</t>
  </si>
  <si>
    <t xml:space="preserve">PET bottle 600 mL</t>
  </si>
  <si>
    <t xml:space="preserve">Returnable glass 650 mL (5 uses)</t>
  </si>
  <si>
    <t xml:space="preserve">index (lowest = 100)</t>
  </si>
  <si>
    <t xml:space="preserve">Second-hand: IAI 2024 summary chart of TERI results</t>
  </si>
  <si>
    <t xml:space="preserve">Read from chart; bar labels partly uncertain</t>
  </si>
  <si>
    <t xml:space="preserve">https://international-aluminium.org/wp-content/uploads/2024/04/Comparing-the-carbon-footprints-of-beverage-containers.pdf</t>
  </si>
  <si>
    <t xml:space="preserve">group</t>
  </si>
  <si>
    <t xml:space="preserve">study_mean_ln_ratio</t>
  </si>
  <si>
    <t xml:space="preserve">n_pairs</t>
  </si>
  <si>
    <t xml:space="preserve">n_pairs_alt_better</t>
  </si>
  <si>
    <t xml:space="preserve">Core pool (all classes)</t>
  </si>
  <si>
    <t xml:space="preserve">Glass vs plastic</t>
  </si>
  <si>
    <t xml:space="preserve">Reusable glass vs plastic</t>
  </si>
  <si>
    <t xml:space="preserve">Aluminium vs plastic</t>
  </si>
  <si>
    <t xml:space="preserve">Carton vs plastic</t>
  </si>
  <si>
    <t xml:space="preserve">Pouch/refill vs plastic</t>
  </si>
  <si>
    <t xml:space="preserve">Top: Python results (bootstrap = study-level resampling, 20,000 draws). Bottom: live formula version (t-interval) that recalculates from S1 via S2b.</t>
  </si>
  <si>
    <t xml:space="preserve">k_studies</t>
  </si>
  <si>
    <t xml:space="preserve">mean_ln</t>
  </si>
  <si>
    <t xml:space="preserve">ratio</t>
  </si>
  <si>
    <t xml:space="preserve">pct_pairs_alt_better</t>
  </si>
  <si>
    <t xml:space="preserve">boot_low</t>
  </si>
  <si>
    <t xml:space="preserve">boot_high</t>
  </si>
  <si>
    <t xml:space="preserve">t_low</t>
  </si>
  <si>
    <t xml:space="preserve">t_high</t>
  </si>
  <si>
    <t xml:space="preserve">tau_ln</t>
  </si>
  <si>
    <t xml:space="preserve">pred_low</t>
  </si>
  <si>
    <t xml:space="preserve">pred_high</t>
  </si>
  <si>
    <t xml:space="preserve">LIVE FORMULA VERSION (recalculates from S1)</t>
  </si>
  <si>
    <t xml:space="preserve">t_ci_low</t>
  </si>
  <si>
    <t xml:space="preserve">t_ci_high</t>
  </si>
  <si>
    <t xml:space="preserve">between_study_SD_ln</t>
  </si>
  <si>
    <t xml:space="preserve">class_adjusted_shift = how much the ratio moves for studies at 'level' vs all others after removing the material mix (1 = no effect; interval from study bootstrap).</t>
  </si>
  <si>
    <t xml:space="preserve">moderator</t>
  </si>
  <si>
    <t xml:space="preserve">level</t>
  </si>
  <si>
    <t xml:space="preserve">other</t>
  </si>
  <si>
    <t xml:space="preserve">k_level</t>
  </si>
  <si>
    <t xml:space="preserve">k_other</t>
  </si>
  <si>
    <t xml:space="preserve">n_level</t>
  </si>
  <si>
    <t xml:space="preserve">n_other</t>
  </si>
  <si>
    <t xml:space="preserve">raw_ratio_level</t>
  </si>
  <si>
    <t xml:space="preserve">raw_ratio_other</t>
  </si>
  <si>
    <t xml:space="preserve">class_adjusted_shift</t>
  </si>
  <si>
    <t xml:space="preserve">shift_low</t>
  </si>
  <si>
    <t xml:space="preserve">shift_high</t>
  </si>
  <si>
    <t xml:space="preserve">Region</t>
  </si>
  <si>
    <t xml:space="preserve">all other</t>
  </si>
  <si>
    <t xml:space="preserve">System boundary</t>
  </si>
  <si>
    <t xml:space="preserve">Functional unit</t>
  </si>
  <si>
    <t xml:space="preserve">Data source</t>
  </si>
  <si>
    <t xml:space="preserve">Funder</t>
  </si>
  <si>
    <t xml:space="preserve">End of life stated in source</t>
  </si>
  <si>
    <t xml:space="preserve">Sensitivity analyses on the core pool, then leave-one-study-out (below).</t>
  </si>
  <si>
    <t xml:space="preserve">Core pool (headline)</t>
  </si>
  <si>
    <t xml:space="preserve">Core + weak pairs (Saleh, Pasqualino, tray, 30 uses)</t>
  </si>
  <si>
    <t xml:space="preserve">Excluding second-hand values</t>
  </si>
  <si>
    <t xml:space="preserve">Second-hand values only</t>
  </si>
  <si>
    <t xml:space="preserve">Academic-funded only</t>
  </si>
  <si>
    <t xml:space="preserve">Excluding industry-linked studies</t>
  </si>
  <si>
    <t xml:space="preserve">Industry-linked only</t>
  </si>
  <si>
    <t xml:space="preserve">Packaging-only boundary</t>
  </si>
  <si>
    <t xml:space="preserve">Per-volume functional unit only</t>
  </si>
  <si>
    <t xml:space="preserve">Europe only</t>
  </si>
  <si>
    <t xml:space="preserve">Outside Europe or unknown</t>
  </si>
  <si>
    <t xml:space="preserve">Excluding single-use glass pairs</t>
  </si>
  <si>
    <t xml:space="preserve">study_left_out</t>
  </si>
  <si>
    <t xml:space="preserve">Screening counts behind fig0. Scoping counts are from an itemised web/database log; replace with database export counts before publication.</t>
  </si>
  <si>
    <t xml:space="preserve">stage</t>
  </si>
  <si>
    <t xml:space="preserve">n</t>
  </si>
  <si>
    <t xml:space="preserve">note</t>
  </si>
  <si>
    <t xml:space="preserve">identified</t>
  </si>
  <si>
    <t xml:space="preserve">All unique records (scoping log 82 + team search and snowballing 8)</t>
  </si>
  <si>
    <t xml:space="preserve">identified_scoping</t>
  </si>
  <si>
    <t xml:space="preserve">Itemised scoping search log (18 web and database searches plus UNEP 2020 and ACE 2020 reference lists); raw database hit counts to be replaced with exports</t>
  </si>
  <si>
    <t xml:space="preserve">identified_team</t>
  </si>
  <si>
    <t xml:space="preserve">Team search and snowballing from Stefanini 2021 Table 1 and trade summaries (De Feo; NAPCOR; SDL thesis; iPoint; Gallego-Schmid; Pasqualino; Saleh; Mata &amp; Costa)</t>
  </si>
  <si>
    <t xml:space="preserve">excluded_ta</t>
  </si>
  <si>
    <t xml:space="preserve">18 reviews (used for snowballing); 5 out-of-scope alternatives (bio-PET; PLA; tap water); 5 single format or end-of-life only; 4 medical or pharma; 3 transport packaging; 1 not a format comparison; 1 foodservice review; 1 not credible</t>
  </si>
  <si>
    <t xml:space="preserve">assessed</t>
  </si>
  <si>
    <t xml:space="preserve">Full texts or open summaries assessed</t>
  </si>
  <si>
    <t xml:space="preserve">excluded_ft</t>
  </si>
  <si>
    <t xml:space="preserve">4 relative results or marketing claims only; 3 no extractable paired GWP; 1 duplicate data</t>
  </si>
  <si>
    <t xml:space="preserve">not_extractable</t>
  </si>
  <si>
    <t xml:space="preserve">Eligible but paired numbers not openly available: 18 paywalled or not yet obtained (IFEU 2018 and 2020; Kouloumpis 2020; Kositcharoenkul 2024; Brock &amp; Williams 2020 etc.); Ball/Sphera 2020 (bounds only); micro-brewery 2022 (relative only)</t>
  </si>
  <si>
    <t xml:space="preserve">included_reports</t>
  </si>
  <si>
    <t xml:space="preserve">24 reports = 23 studies (two Elopak reports treated as one study)</t>
  </si>
  <si>
    <t xml:space="preserve">parameter</t>
  </si>
  <si>
    <t xml:space="preserve">symbol</t>
  </si>
  <si>
    <t xml:space="preserve">low</t>
  </si>
  <si>
    <t xml:space="preserve">base</t>
  </si>
  <si>
    <t xml:space="preserve">high</t>
  </si>
  <si>
    <t xml:space="preserve">status</t>
  </si>
  <si>
    <t xml:space="preserve">source</t>
  </si>
  <si>
    <t xml:space="preserve">Primary aluminium cradle-to-gate</t>
  </si>
  <si>
    <t xml:space="preserve">V_Al</t>
  </si>
  <si>
    <t xml:space="preserve">kg CO2e/kg</t>
  </si>
  <si>
    <t xml:space="preserve">sourced</t>
  </si>
  <si>
    <t xml:space="preserve">IAI 2022 global 15.1; India ~19.6 (LSE Grantham Institute)</t>
  </si>
  <si>
    <t xml:space="preserve">Recycled aluminium (gate-to-gate)</t>
  </si>
  <si>
    <t xml:space="preserve">S_Al</t>
  </si>
  <si>
    <t xml:space="preserve">sourced (low); high assumed</t>
  </si>
  <si>
    <t xml:space="preserve">IAI factsheet 0.52</t>
  </si>
  <si>
    <t xml:space="preserve">Aluminium recycling yield</t>
  </si>
  <si>
    <t xml:space="preserve">y_Al</t>
  </si>
  <si>
    <t xml:space="preserve">fraction</t>
  </si>
  <si>
    <t xml:space="preserve">TERI 2022 Table 15 (98%)</t>
  </si>
  <si>
    <t xml:space="preserve">Aluminium can-making overhead</t>
  </si>
  <si>
    <t xml:space="preserve">conv_Al</t>
  </si>
  <si>
    <t xml:space="preserve">assumed</t>
  </si>
  <si>
    <t xml:space="preserve">No source found - sensitivity range</t>
  </si>
  <si>
    <t xml:space="preserve">Virgin container glass</t>
  </si>
  <si>
    <t xml:space="preserve">V_G</t>
  </si>
  <si>
    <t xml:space="preserve">derived/assumed</t>
  </si>
  <si>
    <t xml:space="preserve">Derived from FEVE cullet savings; India upper bound assumed</t>
  </si>
  <si>
    <t xml:space="preserve">Glass credit per kg recycled (cullet)</t>
  </si>
  <si>
    <t xml:space="preserve">dV_G</t>
  </si>
  <si>
    <t xml:space="preserve">FEVE (580-670 kg per t)</t>
  </si>
  <si>
    <t xml:space="preserve">Glass recycling yield</t>
  </si>
  <si>
    <t xml:space="preserve">y_G</t>
  </si>
  <si>
    <t xml:space="preserve">TERI 2022 Table 15</t>
  </si>
  <si>
    <t xml:space="preserve">Virgin PET resin</t>
  </si>
  <si>
    <t xml:space="preserve">V_PET</t>
  </si>
  <si>
    <t xml:space="preserve">sourced (high); low assumed</t>
  </si>
  <si>
    <t xml:space="preserve">Hopewell et al. 2009 Table 3 (3.4)</t>
  </si>
  <si>
    <t xml:space="preserve">Recycled PET flake</t>
  </si>
  <si>
    <t xml:space="preserve">S_PET</t>
  </si>
  <si>
    <t xml:space="preserve">sourced (base)</t>
  </si>
  <si>
    <t xml:space="preserve">Hopewell et al. 2009 (1.4)</t>
  </si>
  <si>
    <t xml:space="preserve">PET recycling yield</t>
  </si>
  <si>
    <t xml:space="preserve">y_PET</t>
  </si>
  <si>
    <t xml:space="preserve">PET credit quality (open-loop/fibre)</t>
  </si>
  <si>
    <t xml:space="preserve">q_PET</t>
  </si>
  <si>
    <t xml:space="preserve">Food-grade rPET barred in India at TERI study time (FSSAI)</t>
  </si>
  <si>
    <t xml:space="preserve">PET conversion (preform + blow moulding)</t>
  </si>
  <si>
    <t xml:space="preserve">conv_PET</t>
  </si>
  <si>
    <t xml:space="preserve">Fossil CO2 from burning PET</t>
  </si>
  <si>
    <t xml:space="preserve">burn_PET</t>
  </si>
  <si>
    <t xml:space="preserve">kg CO2/kg</t>
  </si>
  <si>
    <t xml:space="preserve">derived</t>
  </si>
  <si>
    <t xml:space="preserve">PET 62.5% carbon x 44/12</t>
  </si>
  <si>
    <t xml:space="preserve">Share of UNCOLLECTED PET open-burned (India)</t>
  </si>
  <si>
    <t xml:space="preserve">b_IN</t>
  </si>
  <si>
    <t xml:space="preserve">Cottom et al. 2024: open burning prolific in India; share not given</t>
  </si>
  <si>
    <t xml:space="preserve">Share of uncollected PET burned (EU)</t>
  </si>
  <si>
    <t xml:space="preserve">b_EU</t>
  </si>
  <si>
    <t xml:space="preserve">Controlled disposal</t>
  </si>
  <si>
    <t xml:space="preserve">Truck transport EF</t>
  </si>
  <si>
    <t xml:space="preserve">EF_t</t>
  </si>
  <si>
    <t xml:space="preserve">kg CO2e/t-km</t>
  </si>
  <si>
    <t xml:space="preserve">Distances Al/PET/glass</t>
  </si>
  <si>
    <t xml:space="preserve">D</t>
  </si>
  <si>
    <t xml:space="preserve">1000/500/500</t>
  </si>
  <si>
    <t xml:space="preserve">km</t>
  </si>
  <si>
    <t xml:space="preserve">TERI 2022 Table 6</t>
  </si>
  <si>
    <t xml:space="preserve">Mass per litre Al can 500 mL</t>
  </si>
  <si>
    <t xml:space="preserve">m_Al</t>
  </si>
  <si>
    <t xml:space="preserve">g/L</t>
  </si>
  <si>
    <t xml:space="preserve">TERI 2022 Table 8</t>
  </si>
  <si>
    <t xml:space="preserve">Mass per litre PET 600 mL</t>
  </si>
  <si>
    <t xml:space="preserve">m_PET</t>
  </si>
  <si>
    <t xml:space="preserve">Mass per litre glass 650 mL</t>
  </si>
  <si>
    <t xml:space="preserve">m_G</t>
  </si>
  <si>
    <t xml:space="preserve">Collection EU PET</t>
  </si>
  <si>
    <t xml:space="preserve">c_PET_EU</t>
  </si>
  <si>
    <t xml:space="preserve">NCL/PACE 2017 (Europe 48.3%)</t>
  </si>
  <si>
    <t xml:space="preserve">Collection EU glass</t>
  </si>
  <si>
    <t xml:space="preserve">c_G_EU</t>
  </si>
  <si>
    <t xml:space="preserve">FEVE (80.1%)</t>
  </si>
  <si>
    <t xml:space="preserve">Collection EU/global Al</t>
  </si>
  <si>
    <t xml:space="preserve">c_Al_EU</t>
  </si>
  <si>
    <t xml:space="preserve">sourced (global)</t>
  </si>
  <si>
    <t xml:space="preserve">IAI 2019 global can recycling 71%</t>
  </si>
  <si>
    <t xml:space="preserve">Collection India Al/PET/glass</t>
  </si>
  <si>
    <t xml:space="preserve">c_IN</t>
  </si>
  <si>
    <t xml:space="preserve">0.85/0.70/0.60</t>
  </si>
  <si>
    <t xml:space="preserve">Collection India PET alt (NCL)</t>
  </si>
  <si>
    <t xml:space="preserve">c_PET_IN_hi</t>
  </si>
  <si>
    <t xml:space="preserve">CSIR-NCL/PACE 2017 (~90% incl. informal and home reuse)</t>
  </si>
  <si>
    <t xml:space="preserve">scenario</t>
  </si>
  <si>
    <t xml:space="preserve">Al_med</t>
  </si>
  <si>
    <t xml:space="preserve">Al_p5</t>
  </si>
  <si>
    <t xml:space="preserve">Al_p95</t>
  </si>
  <si>
    <t xml:space="preserve">PET_med</t>
  </si>
  <si>
    <t xml:space="preserve">PET_p5</t>
  </si>
  <si>
    <t xml:space="preserve">PET_p95</t>
  </si>
  <si>
    <t xml:space="preserve">Glass_med</t>
  </si>
  <si>
    <t xml:space="preserve">Glass_p5</t>
  </si>
  <si>
    <t xml:space="preserve">Glass_p95</t>
  </si>
  <si>
    <t xml:space="preserve">AlPET_ratio_med</t>
  </si>
  <si>
    <t xml:space="preserve">AlPET_p5</t>
  </si>
  <si>
    <t xml:space="preserve">AlPET_p95</t>
  </si>
  <si>
    <t xml:space="preserve">GlassPET_ratio_med</t>
  </si>
  <si>
    <t xml:space="preserve">GlassPET_p5</t>
  </si>
  <si>
    <t xml:space="preserve">GlassPET_p95</t>
  </si>
  <si>
    <t xml:space="preserve">P_Al_beats_PET</t>
  </si>
  <si>
    <t xml:space="preserve">P_Glass_beats_PET</t>
  </si>
  <si>
    <t xml:space="preserve">Europe-default rates</t>
  </si>
  <si>
    <t xml:space="preserve">India (TERI 2022 rates)</t>
  </si>
  <si>
    <t xml:space="preserve">India (PET 90%, NCL)</t>
  </si>
  <si>
    <t xml:space="preserve">spearman_rho_with_Al_over_PET</t>
  </si>
  <si>
    <t xml:space="preserve">EF</t>
  </si>
  <si>
    <t xml:space="preserve">c* = aluminium-can collection rate at which the can equals PET (India set-up). Validation anchors below.</t>
  </si>
  <si>
    <t xml:space="preserve">case</t>
  </si>
  <si>
    <t xml:space="preserve">median</t>
  </si>
  <si>
    <t xml:space="preserve">p5</t>
  </si>
  <si>
    <t xml:space="preserve">p95</t>
  </si>
  <si>
    <t xml:space="preserve">share_never</t>
  </si>
  <si>
    <t xml:space="preserve">cstar_med</t>
  </si>
  <si>
    <t xml:space="preserve">cstar_p5</t>
  </si>
  <si>
    <t xml:space="preserve">cstar_p95</t>
  </si>
  <si>
    <t xml:space="preserve">PET 70%</t>
  </si>
  <si>
    <t xml:space="preserve">PET 90%</t>
  </si>
  <si>
    <t xml:space="preserve">Al-favourable corner</t>
  </si>
  <si>
    <t xml:space="preserve">TERI_glass_over_Al</t>
  </si>
  <si>
    <t xml:space="preserve">model_India_glass_over_Al</t>
  </si>
  <si>
    <t xml:space="preserve">3.91, 4.92, 6.32  (p5, median, p95)</t>
  </si>
  <si>
    <t xml:space="preserve">DeFeo_glass_over_PET</t>
  </si>
  <si>
    <t xml:space="preserve">model_EU_glass_over_PET</t>
  </si>
  <si>
    <t xml:space="preserve">4.14, 5.27, 6.91  (p5, median, p95)</t>
  </si>
  <si>
    <t xml:space="preserve">DeFeo_Al_over_PET</t>
  </si>
  <si>
    <t xml:space="preserve">model_EU_Al_over_PET</t>
  </si>
  <si>
    <t xml:space="preserve">1.45, 1.73, 2.09  (p5, median, p95)</t>
  </si>
  <si>
    <t xml:space="preserve">Deterministic base case of the Stage 2 model (live formulas) using the BASE value of every input in S6. Edit blue collection rates to test any value.</t>
  </si>
  <si>
    <t xml:space="preserve">Inputs</t>
  </si>
  <si>
    <t xml:space="preserve">value</t>
  </si>
  <si>
    <t xml:space="preserve">unit / note</t>
  </si>
  <si>
    <t xml:space="preserve">linked to S6</t>
  </si>
  <si>
    <t xml:space="preserve">g per litre, linked to S6</t>
  </si>
  <si>
    <t xml:space="preserve">D_Al_km</t>
  </si>
  <si>
    <t xml:space="preserve">km, TERI 2022 Table 6</t>
  </si>
  <si>
    <t xml:space="preserve">D_PET_km</t>
  </si>
  <si>
    <t xml:space="preserve">D_G_km</t>
  </si>
  <si>
    <t xml:space="preserve">Scenarios</t>
  </si>
  <si>
    <t xml:space="preserve">Al collection</t>
  </si>
  <si>
    <t xml:space="preserve">glass collection</t>
  </si>
  <si>
    <t xml:space="preserve">PET collection</t>
  </si>
  <si>
    <t xml:space="preserve">PET burned share b</t>
  </si>
  <si>
    <t xml:space="preserve">GWP Al can (kg CO2e/L)</t>
  </si>
  <si>
    <t xml:space="preserve">GWP PET (kg CO2e/L)</t>
  </si>
  <si>
    <t xml:space="preserve">GWP glass (kg CO2e/L)</t>
  </si>
  <si>
    <t xml:space="preserve">Al / PET</t>
  </si>
  <si>
    <t xml:space="preserve">Glass / PET</t>
  </si>
  <si>
    <t xml:space="preserve">Al-PET parity: Al collection c*</t>
  </si>
  <si>
    <t xml:space="preserve">India, TERI rates</t>
  </si>
  <si>
    <t xml:space="preserve">India, PET collected at 90%</t>
  </si>
  <si>
    <t xml:space="preserve">Formulas: Al = m(V+conv) - m*c*y*(V-S) + transport; glass = m*V - m*c*y*dV + transport; PET = m(V+conv) - m*c*y*q*(V-S) + m(1-c)*b*burn + transport.</t>
  </si>
  <si>
    <t xml:space="preserve">mode</t>
  </si>
  <si>
    <t xml:space="preserve">P_prod</t>
  </si>
  <si>
    <t xml:space="preserve">kg CO2e/kg shampoo</t>
  </si>
  <si>
    <t xml:space="preserve">Cradle-to-gate shampoo formulation; no single source, wide range tested</t>
  </si>
  <si>
    <t xml:space="preserve">e_lam</t>
  </si>
  <si>
    <t xml:space="preserve">Multilayer laminate (PET/Al/PE) incl. conversion and print</t>
  </si>
  <si>
    <t xml:space="preserve">e_rigid</t>
  </si>
  <si>
    <t xml:space="preserve">HDPE/PP bottle incl. moulding; virgin polyolefin about 1.9 plus conversion</t>
  </si>
  <si>
    <t xml:space="preserve">e_can</t>
  </si>
  <si>
    <t xml:space="preserve">HDPE canister incl. moulding (lighter conversion per kg)</t>
  </si>
  <si>
    <t xml:space="preserve">dV_rigid</t>
  </si>
  <si>
    <t xml:space="preserve">Virgin minus recycled polyolefin</t>
  </si>
  <si>
    <t xml:space="preserve">q_rigid</t>
  </si>
  <si>
    <t xml:space="preserve">Credit quality, open loop (as q_PET in Stage 2)</t>
  </si>
  <si>
    <t xml:space="preserve">y_rigid</t>
  </si>
  <si>
    <t xml:space="preserve">Recycling yield (as PET in TERI 2022)</t>
  </si>
  <si>
    <t xml:space="preserve">c_rigid</t>
  </si>
  <si>
    <t xml:space="preserve">Collection of rigid HDPE/PP in India</t>
  </si>
  <si>
    <t xml:space="preserve">burn_lam</t>
  </si>
  <si>
    <t xml:space="preserve">Fossil carbon of PET (2.29) to PE (3.14) layers</t>
  </si>
  <si>
    <t xml:space="preserve">burn_po</t>
  </si>
  <si>
    <t xml:space="preserve">Polyethylene 85.7% C x 44/12</t>
  </si>
  <si>
    <t xml:space="preserve">Share of uncollected waste open-burned (as Stage 2)</t>
  </si>
  <si>
    <t xml:space="preserve">m_sachet</t>
  </si>
  <si>
    <t xml:space="preserve">g per pack</t>
  </si>
  <si>
    <t xml:space="preserve">6 mL multilayer sachet</t>
  </si>
  <si>
    <t xml:space="preserve">V_sachet</t>
  </si>
  <si>
    <t xml:space="preserve">Typical Indian shampoo sachet 5 to 8 mL</t>
  </si>
  <si>
    <t xml:space="preserve">m_bottle</t>
  </si>
  <si>
    <t xml:space="preserve">200 mL bottle plus pump</t>
  </si>
  <si>
    <t xml:space="preserve">m_pouch</t>
  </si>
  <si>
    <t xml:space="preserve">500 mL stand-up refill pouch</t>
  </si>
  <si>
    <t xml:space="preserve">m_can</t>
  </si>
  <si>
    <t xml:space="preserve">2 L HDPE canister</t>
  </si>
  <si>
    <t xml:space="preserve">r_sachet</t>
  </si>
  <si>
    <t xml:space="preserve">sourced (proxy)</t>
  </si>
  <si>
    <t xml:space="preserve">R05: 9 to 20 g portion packs, 3 to 11% product left due to packaging</t>
  </si>
  <si>
    <t xml:space="preserve">r_bottle</t>
  </si>
  <si>
    <t xml:space="preserve">R01: shampoo in 200 mL pump 7.14%; pumps mean 5.23%</t>
  </si>
  <si>
    <t xml:space="preserve">r_pouch</t>
  </si>
  <si>
    <t xml:space="preserve">R01: shampoo 500 mL pouch 2.67%; with spout 1.08%</t>
  </si>
  <si>
    <t xml:space="preserve">r_can</t>
  </si>
  <si>
    <t xml:space="preserve">R01: shampoo 2000 mL canister 3.17%</t>
  </si>
  <si>
    <t xml:space="preserve">u_can</t>
  </si>
  <si>
    <t xml:space="preserve">Product never used from very large packs (pack-size waste, R06 to R08)</t>
  </si>
  <si>
    <t xml:space="preserve">Monte Carlo (20,000 draws). Conventional = packaging GWP per kg FILLED; honest = packaging-attributable GWP per kg actually USED (charges the pack for stranded and unused product).</t>
  </si>
  <si>
    <t xml:space="preserve">format</t>
  </si>
  <si>
    <t xml:space="preserve">conventional_med</t>
  </si>
  <si>
    <t xml:space="preserve">conventional_p5</t>
  </si>
  <si>
    <t xml:space="preserve">conventional_p95</t>
  </si>
  <si>
    <t xml:space="preserve">honest_med</t>
  </si>
  <si>
    <t xml:space="preserve">honest_p5</t>
  </si>
  <si>
    <t xml:space="preserve">honest_p95</t>
  </si>
  <si>
    <t xml:space="preserve">honest_over_conventional</t>
  </si>
  <si>
    <t xml:space="preserve">India, open burning of uncollected waste</t>
  </si>
  <si>
    <t xml:space="preserve">Sachet 6 mL</t>
  </si>
  <si>
    <t xml:space="preserve">Pump bottle 200 mL</t>
  </si>
  <si>
    <t xml:space="preserve">Refill pouch 500 mL</t>
  </si>
  <si>
    <t xml:space="preserve">Canister 2 L</t>
  </si>
  <si>
    <t xml:space="preserve">Controlled disposal (no burning)</t>
  </si>
  <si>
    <t xml:space="preserve">sachet_over_bottle_conventional</t>
  </si>
  <si>
    <t xml:space="preserve">[0.8387269103428069, 1.2514863528635298, 1.8517451631117936]</t>
  </si>
  <si>
    <t xml:space="preserve">sachet_over_bottle_honest</t>
  </si>
  <si>
    <t xml:space="preserve">[0.8295562968129754, 1.1576480943731928, 1.6093876460761232]</t>
  </si>
  <si>
    <t xml:space="preserve">share_sachet_beats_bottle_conventional</t>
  </si>
  <si>
    <t xml:space="preserve">share_sachet_beats_bottle_honest</t>
  </si>
  <si>
    <t xml:space="preserve">pouch_over_bottle_honest</t>
  </si>
  <si>
    <t xml:space="preserve">[0.21952217264417317, 0.29109128379204274, 0.3795607266330574]</t>
  </si>
  <si>
    <t xml:space="preserve">canister_over_pouch_conventional</t>
  </si>
  <si>
    <t xml:space="preserve">[0.7221167112744302, 0.984125284758573, 1.332243987786389]</t>
  </si>
  <si>
    <t xml:space="preserve">canister_over_pouch_honest</t>
  </si>
  <si>
    <t xml:space="preserve">[1.0263753594991247, 1.397314986854391, 1.9325795141990285]</t>
  </si>
  <si>
    <t xml:space="preserve">share_canister_beats_pouch_conventional</t>
  </si>
  <si>
    <t xml:space="preserve">share_canister_beats_pouch_honest</t>
  </si>
  <si>
    <t xml:space="preserve">share_best_format_conventional</t>
  </si>
  <si>
    <t xml:space="preserve">{"Sachet 6 mL": 0.0, "Pump bottle 200 mL": 0.0, "Refill pouch 500 mL": 0.46575, "Canister 2 L": 0.53425}</t>
  </si>
  <si>
    <t xml:space="preserve">share_best_format_honest</t>
  </si>
  <si>
    <t xml:space="preserve">{"Sachet 6 mL": 0.0, "Pump bottle 200 mL": 0.0, "Refill pouch 500 mL": 0.9629, "Canister 2 L": 0.0371}</t>
  </si>
  <si>
    <t xml:space="preserve">share_draws_sachet_strands_less</t>
  </si>
  <si>
    <t xml:space="preserve">breakeven_product_footprint_median</t>
  </si>
  <si>
    <t xml:space="preserve">breakeven_product_footprint_p5</t>
  </si>
  <si>
    <t xml:space="preserve">breakeven_product_footprint_p95</t>
  </si>
  <si>
    <t xml:space="preserve">LIVE BASE CASE (mode values from S11, India with open burning). Edit S11 column C to test.</t>
  </si>
  <si>
    <t xml:space="preserve">fill (g)</t>
  </si>
  <si>
    <t xml:space="preserve">pack mass (g)</t>
  </si>
  <si>
    <t xml:space="preserve">pack GWP (g CO2e)</t>
  </si>
  <si>
    <t xml:space="preserve">share of product used</t>
  </si>
  <si>
    <t xml:space="preserve">conventional (kg CO2e/kg filled)</t>
  </si>
  <si>
    <t xml:space="preserve">honest (kg CO2e/kg used)</t>
  </si>
  <si>
    <t xml:space="preserve">honest / conventional</t>
  </si>
  <si>
    <t xml:space="preserve">Sachet / pump bottle</t>
  </si>
  <si>
    <t xml:space="preserve">Canister / refill pouch</t>
  </si>
  <si>
    <t xml:space="preserve">What drives the sachet / bottle result (Spearman rank correlation)</t>
  </si>
  <si>
    <t xml:space="preserve">id</t>
  </si>
  <si>
    <t xml:space="preserve">product</t>
  </si>
  <si>
    <t xml:space="preserve">package</t>
  </si>
  <si>
    <t xml:space="preserve">% left inside or wasted</t>
  </si>
  <si>
    <t xml:space="preserve">method</t>
  </si>
  <si>
    <t xml:space="preserve">how used</t>
  </si>
  <si>
    <t xml:space="preserve">link</t>
  </si>
  <si>
    <t xml:space="preserve">R01</t>
  </si>
  <si>
    <t xml:space="preserve">Sustainability 2025, 17(3):1056 (DACH)</t>
  </si>
  <si>
    <t xml:space="preserve">200 mL pump / 500 mL pouch / 2000 mL canister</t>
  </si>
  <si>
    <t xml:space="preserve">7.14% / 2.67% / 3.17%</t>
  </si>
  <si>
    <t xml:space="preserve">Lab emptiability test, residue weighed</t>
  </si>
  <si>
    <t xml:space="preserve">Main Stage 3 input; pouch with spout 1.08%; pumps mean 5.23%, bottles 2.65%</t>
  </si>
  <si>
    <t xml:space="preserve">https://doi.org/10.3390/su17031056</t>
  </si>
  <si>
    <t xml:space="preserve">R01b</t>
  </si>
  <si>
    <t xml:space="preserve">same</t>
  </si>
  <si>
    <t xml:space="preserve">Hand cream; body lotion</t>
  </si>
  <si>
    <t xml:space="preserve">Tube vs pump; tubes</t>
  </si>
  <si>
    <t xml:space="preserve">9.57% vs 20.21%; 5.53% median</t>
  </si>
  <si>
    <t xml:space="preserve">Viscosity matters as much as pack type</t>
  </si>
  <si>
    <t xml:space="preserve">R02</t>
  </si>
  <si>
    <t xml:space="preserve">Schinkel et al. 2023, Waste 1(4):901-918</t>
  </si>
  <si>
    <t xml:space="preserve">Viscous products; water</t>
  </si>
  <si>
    <t xml:space="preserve">Tubes; PET bottles</t>
  </si>
  <si>
    <t xml:space="preserve">about 10%; under 1%</t>
  </si>
  <si>
    <t xml:space="preserve">Post-consumer packs from a sorting plant</t>
  </si>
  <si>
    <t xml:space="preserve">Beverage residue is negligible, so the honest unit does not change Stage 1 beverage pairs</t>
  </si>
  <si>
    <t xml:space="preserve">https://doi.org/10.3390/waste1040052</t>
  </si>
  <si>
    <t xml:space="preserve">R03</t>
  </si>
  <si>
    <t xml:space="preserve">Wohner et al. 2019, PeerJ 7:e7578</t>
  </si>
  <si>
    <t xml:space="preserve">36 dairy products</t>
  </si>
  <si>
    <t xml:space="preserve">Cartons, PET, cups</t>
  </si>
  <si>
    <t xml:space="preserve">0.25% to 5.79%</t>
  </si>
  <si>
    <t xml:space="preserve">Lab test at 7 and 22 C</t>
  </si>
  <si>
    <t xml:space="preserve">Dairy residue can matter for carton vs PET milk; not format-paired here</t>
  </si>
  <si>
    <t xml:space="preserve">R04</t>
  </si>
  <si>
    <t xml:space="preserve">Sustainability 2024, 16(15):6335</t>
  </si>
  <si>
    <t xml:space="preserve">Buttermilk; yoghurt drinks</t>
  </si>
  <si>
    <t xml:space="preserve">Cartons; cups</t>
  </si>
  <si>
    <t xml:space="preserve">4.49%; 2.10% to 4.22%</t>
  </si>
  <si>
    <t xml:space="preserve">Lab test</t>
  </si>
  <si>
    <t xml:space="preserve">Shape alone can cause large losses</t>
  </si>
  <si>
    <t xml:space="preserve">https://www.mdpi.com/2071-1050/16/15/6335</t>
  </si>
  <si>
    <t xml:space="preserve">R05</t>
  </si>
  <si>
    <t xml:space="preserve">Dogdu et al. 2024, Waste Management 173:141-151</t>
  </si>
  <si>
    <t xml:space="preserve">Foods in 9 to 20 g packs</t>
  </si>
  <si>
    <t xml:space="preserve">Single-use portion packs (sachet-like)</t>
  </si>
  <si>
    <t xml:space="preserve">3% to 11% due to packaging</t>
  </si>
  <si>
    <t xml:space="preserve">Field collection of 1,649 used packs</t>
  </si>
  <si>
    <t xml:space="preserve">Used as the sachet residue range (proxy)</t>
  </si>
  <si>
    <t xml:space="preserve">https://doi.org/10.1016/j.wasman.2023.11.014</t>
  </si>
  <si>
    <t xml:space="preserve">R06</t>
  </si>
  <si>
    <t xml:space="preserve">Williams et al. 2012, J Clean Prod</t>
  </si>
  <si>
    <t xml:space="preserve">Household food</t>
  </si>
  <si>
    <t xml:space="preserve">All packs</t>
  </si>
  <si>
    <t xml:space="preserve">20% to 25% of household food waste packaging-related</t>
  </si>
  <si>
    <t xml:space="preserve">61 Swedish families, weighing plus diary</t>
  </si>
  <si>
    <t xml:space="preserve">Pack too big is a named cause; supports u_can</t>
  </si>
  <si>
    <t xml:space="preserve">https://www.sciencedirect.com/science/article/abs/pii/S0959652611004793</t>
  </si>
  <si>
    <t xml:space="preserve">R07</t>
  </si>
  <si>
    <t xml:space="preserve">Wikstrom et al. 2019, Sustainability 11(9):2641</t>
  </si>
  <si>
    <t xml:space="preserve">Yoghurt</t>
  </si>
  <si>
    <t xml:space="preserve">Multipacks</t>
  </si>
  <si>
    <t xml:space="preserve">about 50% of avoidable yoghurt waste unopened</t>
  </si>
  <si>
    <t xml:space="preserve">Review plus workshop</t>
  </si>
  <si>
    <t xml:space="preserve">Large packs strand product</t>
  </si>
  <si>
    <t xml:space="preserve">https://doi.org/10.3390/su11092641</t>
  </si>
  <si>
    <t xml:space="preserve">R08</t>
  </si>
  <si>
    <t xml:space="preserve">Sustainability 2019, 11(1):264</t>
  </si>
  <si>
    <t xml:space="preserve">Pack size</t>
  </si>
  <si>
    <t xml:space="preserve">Single-person homes waste over 2x per person</t>
  </si>
  <si>
    <t xml:space="preserve">Survey review</t>
  </si>
  <si>
    <t xml:space="preserve">Pack size vs household size</t>
  </si>
  <si>
    <t xml:space="preserve">https://www.mdpi.com/2071-1050/11/1/264</t>
  </si>
  <si>
    <t xml:space="preserve">R12</t>
  </si>
  <si>
    <t xml:space="preserve">UNDP Laos 2021 refill experiment</t>
  </si>
  <si>
    <t xml:space="preserve">5 mL sachet vs 450 mL bottle</t>
  </si>
  <si>
    <t xml:space="preserve">n/a</t>
  </si>
  <si>
    <t xml:space="preserve">Field experiment</t>
  </si>
  <si>
    <t xml:space="preserve">Pack size conversion (90 sachets = 1 bottle)</t>
  </si>
  <si>
    <t xml:space="preserve">https://www.icmfalkfoundation.org/single-use-plastic-sachets-pollution-that-comes-at-a-cost-key-learnings-from-the-refill-station-experiment/</t>
  </si>
  <si>
    <t xml:space="preserve">why close</t>
  </si>
  <si>
    <t xml:space="preserve">reason not included</t>
  </si>
  <si>
    <t xml:space="preserve">IFEU 2020 Nordic and Europe; IFEU 2018 Benelux (Tetra Pak)</t>
  </si>
  <si>
    <t xml:space="preserve">Many beverage pairs</t>
  </si>
  <si>
    <t xml:space="preserve">Full numeric tables not yet extracted; high priority</t>
  </si>
  <si>
    <t xml:space="preserve">Kouloumpis et al. 2020, Sci Total Environ</t>
  </si>
  <si>
    <t xml:space="preserve">PET vs glass, Cornwall</t>
  </si>
  <si>
    <t xml:space="preserve">Paywalled</t>
  </si>
  <si>
    <t xml:space="preserve">Kositcharoenkul et al. 2024, RCR</t>
  </si>
  <si>
    <t xml:space="preserve">Thai cans, cartons, PET, glass</t>
  </si>
  <si>
    <t xml:space="preserve">Brock &amp; Williams 2020</t>
  </si>
  <si>
    <t xml:space="preserve">Beverage packaging LCA</t>
  </si>
  <si>
    <t xml:space="preserve">Numbers not obtained</t>
  </si>
  <si>
    <t xml:space="preserve">Ball/Sphera 2020 (via IAI 2024)</t>
  </si>
  <si>
    <t xml:space="preserve">PET vs glass vs can</t>
  </si>
  <si>
    <t xml:space="preserve">Bounds only (e.g. at least 40% less)</t>
  </si>
  <si>
    <t xml:space="preserve">Micro-brewery packaging 2022, J Environ Manage</t>
  </si>
  <si>
    <t xml:space="preserve">Single-use vs reusable glass beer</t>
  </si>
  <si>
    <t xml:space="preserve">Relative changes only</t>
  </si>
  <si>
    <t xml:space="preserve">Detergent bottle vs refill pouch, J Clean Prod 2026</t>
  </si>
  <si>
    <t xml:space="preserve">Exact refill pair</t>
  </si>
  <si>
    <t xml:space="preserve">No absolute GWP in accessible text; recheck</t>
  </si>
  <si>
    <t xml:space="preserve">FPA/Glenroy STANDCAP pouch vs shampoo bottle</t>
  </si>
  <si>
    <t xml:space="preserve">Pouch about 53% lower</t>
  </si>
  <si>
    <t xml:space="preserve">Relative only, streamlined tool, industry</t>
  </si>
  <si>
    <t xml:space="preserve">Everdrop tabs; DS Smith bag-in-box</t>
  </si>
  <si>
    <t xml:space="preserve">Refill / bag-in-box claims</t>
  </si>
  <si>
    <t xml:space="preserve">Marketing claims, no method</t>
  </si>
  <si>
    <t xml:space="preserve">Garcia-Suarez et al. 2019 (India)</t>
  </si>
  <si>
    <t xml:space="preserve">Alternative is tap water, not a package</t>
  </si>
  <si>
    <t xml:space="preserve">Papong 2014; Benavides 2018; Chen 2016</t>
  </si>
  <si>
    <t xml:space="preserve">PET variants</t>
  </si>
  <si>
    <t xml:space="preserve">Bio-PET or PLA alternatives, out of scope</t>
  </si>
  <si>
    <t xml:space="preserve">Pharmaceutical blister/sachet/bottle LCA 2023</t>
  </si>
  <si>
    <t xml:space="preserve">Includes sachets</t>
  </si>
  <si>
    <t xml:space="preserve">Pharmaceutical, not FMCG</t>
  </si>
  <si>
    <t xml:space="preserve">ref</t>
  </si>
  <si>
    <t xml:space="preserve">author / organisation</t>
  </si>
  <si>
    <t xml:space="preserve">title / venue</t>
  </si>
  <si>
    <t xml:space="preserve">link / doi</t>
  </si>
  <si>
    <t xml:space="preserve">[1]</t>
  </si>
  <si>
    <t xml:space="preserve">Dolci et al. (2025)</t>
  </si>
  <si>
    <t xml:space="preserve">Waste Management &amp; Research 43(3):339-357</t>
  </si>
  <si>
    <t xml:space="preserve">doi:10.1177/0734242X241241606</t>
  </si>
  <si>
    <t xml:space="preserve">[2]</t>
  </si>
  <si>
    <t xml:space="preserve">TERI (2022), for Ball Corporation</t>
  </si>
  <si>
    <t xml:space="preserve">Sustainable Beverage Packaging Options in India: A Comparative LCA</t>
  </si>
  <si>
    <t xml:space="preserve">[3]</t>
  </si>
  <si>
    <t xml:space="preserve">De Feo, Marmora et al.</t>
  </si>
  <si>
    <t xml:space="preserve">Eco-efficiency of bottled water packaging</t>
  </si>
  <si>
    <t xml:space="preserve">[4]</t>
  </si>
  <si>
    <t xml:space="preserve">Ferrara &amp; De Feo (2023)</t>
  </si>
  <si>
    <t xml:space="preserve">Sustainability 15(4):3665</t>
  </si>
  <si>
    <t xml:space="preserve">doi:10.3390/su15043665</t>
  </si>
  <si>
    <t xml:space="preserve">[5]</t>
  </si>
  <si>
    <t xml:space="preserve">NAPCOR (2023)</t>
  </si>
  <si>
    <t xml:space="preserve">PET vs glass and aluminium LCA, press release</t>
  </si>
  <si>
    <t xml:space="preserve">[6]</t>
  </si>
  <si>
    <t xml:space="preserve">Saudi Digital Library repository</t>
  </si>
  <si>
    <t xml:space="preserve">Right materials for packaging carbonated drinks</t>
  </si>
  <si>
    <t xml:space="preserve">[7]</t>
  </si>
  <si>
    <t xml:space="preserve">iPoint Systems</t>
  </si>
  <si>
    <t xml:space="preserve">What's the greenest 1 L packaging?</t>
  </si>
  <si>
    <t xml:space="preserve">[8]</t>
  </si>
  <si>
    <t xml:space="preserve">Gallego-Schmid et al. (2019)</t>
  </si>
  <si>
    <t xml:space="preserve">J. Cleaner Production 211:417-427</t>
  </si>
  <si>
    <t xml:space="preserve">[9]</t>
  </si>
  <si>
    <t xml:space="preserve">International Aluminium Institute</t>
  </si>
  <si>
    <t xml:space="preserve">Aluminium facts; Comparing the carbon footprints of beverage containers (2024)</t>
  </si>
  <si>
    <t xml:space="preserve">[10]</t>
  </si>
  <si>
    <t xml:space="preserve">LSE Grantham Institute</t>
  </si>
  <si>
    <t xml:space="preserve">Decarbonising the aluminium sector in India</t>
  </si>
  <si>
    <t xml:space="preserve">lse.ac.uk</t>
  </si>
  <si>
    <t xml:space="preserve">[11]</t>
  </si>
  <si>
    <t xml:space="preserve">FEVE</t>
  </si>
  <si>
    <t xml:space="preserve">Recycling brochure and data</t>
  </si>
  <si>
    <t xml:space="preserve">feve.org</t>
  </si>
  <si>
    <t xml:space="preserve">[12]</t>
  </si>
  <si>
    <t xml:space="preserve">Hopewell et al. (2009)</t>
  </si>
  <si>
    <t xml:space="preserve">Phil. Trans. R. Soc. B 364:2115-2126</t>
  </si>
  <si>
    <t xml:space="preserve">doi:10.1098/rstb.2008.0311</t>
  </si>
  <si>
    <t xml:space="preserve">[13]</t>
  </si>
  <si>
    <t xml:space="preserve">Cottom, Cook &amp; Velis (2024)</t>
  </si>
  <si>
    <t xml:space="preserve">Nature 633:101-108, global macroplastic emissions</t>
  </si>
  <si>
    <t xml:space="preserve">leeds.ac.uk</t>
  </si>
  <si>
    <t xml:space="preserve">[14]</t>
  </si>
  <si>
    <t xml:space="preserve">CSIR-NCL / PACE (2017)</t>
  </si>
  <si>
    <t xml:space="preserve">PET recycling in India</t>
  </si>
  <si>
    <t xml:space="preserve">plastemart.com</t>
  </si>
  <si>
    <t xml:space="preserve">[15]</t>
  </si>
  <si>
    <t xml:space="preserve">Stefanini et al. (2021)</t>
  </si>
  <si>
    <t xml:space="preserve">Int. J. LCA 26:767-784</t>
  </si>
  <si>
    <t xml:space="preserve">[16]</t>
  </si>
  <si>
    <t xml:space="preserve">Ferrara, De Feo &amp; Picone (2021)</t>
  </si>
  <si>
    <t xml:space="preserve">Recycling 6:50</t>
  </si>
  <si>
    <t xml:space="preserve">[17]</t>
  </si>
  <si>
    <t xml:space="preserve">Wohner &amp; Tacker / Circular Analytics for ACE (2020)</t>
  </si>
  <si>
    <t xml:space="preserve">Supporting evidence: Environmental performance of beverage cartons (source of 18 second-hand values; verified)</t>
  </si>
  <si>
    <t xml:space="preserve">https://www.tetrapak.com/content/dam/tetrapak/publicweb/gb/en/sustainability/20-011-Circular-Analytics_ACE-Full-report_2021-01-25.pdf</t>
  </si>
  <si>
    <t xml:space="preserve">[18]</t>
  </si>
  <si>
    <t xml:space="preserve">Dogdu et al. (2024)</t>
  </si>
  <si>
    <t xml:space="preserve">Hidden realities: Food waste from servings in mini size packaging. Waste Management 173:141-151</t>
  </si>
  <si>
    <t xml:space="preserve">[19]</t>
  </si>
  <si>
    <t xml:space="preserve">Schinkel et al. (2023)</t>
  </si>
  <si>
    <t xml:space="preserve">Amount of fill product residues in plastic packagings for recycling. Waste 1(4):901-918</t>
  </si>
  <si>
    <t xml:space="preserve">[20]</t>
  </si>
  <si>
    <t xml:space="preserve">Amienyo et al. (2013)</t>
  </si>
  <si>
    <t xml:space="preserve">Int. J. LCA 18:77-92</t>
  </si>
  <si>
    <t xml:space="preserve">https://doi.org/10.1007/s11367-012-0459-y</t>
  </si>
  <si>
    <t xml:space="preserve">[21]</t>
  </si>
  <si>
    <t xml:space="preserve">Kim &amp; Park (2020)</t>
  </si>
  <si>
    <t xml:space="preserve">Sustainability 12(11):4669</t>
  </si>
  <si>
    <t xml:space="preserve">[22]</t>
  </si>
  <si>
    <t xml:space="preserve">Krohnert &amp; Stucki (2021)</t>
  </si>
  <si>
    <t xml:space="preserve">Sustainability 13(15):8478</t>
  </si>
  <si>
    <t xml:space="preserve">[23]</t>
  </si>
  <si>
    <t xml:space="preserve">Japanese shampoo container LCA (2021)</t>
  </si>
  <si>
    <t xml:space="preserve">Cleaner Environmental Systems (ScienceDirect S2666784321000218)</t>
  </si>
  <si>
    <t xml:space="preserve">[24]</t>
  </si>
  <si>
    <t xml:space="preserve">Wohner et al. (2019)</t>
  </si>
  <si>
    <t xml:space="preserve">PeerJ 7:e7578</t>
  </si>
  <si>
    <t xml:space="preserve">[25]</t>
  </si>
  <si>
    <t xml:space="preserve">Simon, Amor &amp; Foldenyi (2016)</t>
  </si>
  <si>
    <t xml:space="preserve">J. Cleaner Production 112:238-248</t>
  </si>
  <si>
    <t xml:space="preserve">via ACE 2020</t>
  </si>
  <si>
    <t xml:space="preserve">[26]</t>
  </si>
  <si>
    <t xml:space="preserve">Bertolini et al. (2016)</t>
  </si>
  <si>
    <t xml:space="preserve">Packaging Technology and Science 29:525-546</t>
  </si>
  <si>
    <t xml:space="preserve">[27]</t>
  </si>
  <si>
    <t xml:space="preserve">BIO Intelligence Service (2010)</t>
  </si>
  <si>
    <t xml:space="preserve">Nordic LCA Wine Package Study</t>
  </si>
  <si>
    <t xml:space="preserve">[28]</t>
  </si>
  <si>
    <t xml:space="preserve">Sapienza &amp; Spray (2016)</t>
  </si>
  <si>
    <t xml:space="preserve">Elopak carton LCAs (aseptic and chilled juice)</t>
  </si>
  <si>
    <t xml:space="preserve">[29]</t>
  </si>
  <si>
    <t xml:space="preserve">c7-consult (2019) for ALPLA</t>
  </si>
  <si>
    <t xml:space="preserve">PET vs carton vs glass for milk and juice</t>
  </si>
  <si>
    <t xml:space="preserve">[30]</t>
  </si>
  <si>
    <t xml:space="preserve">Bher &amp; Auras (2024)</t>
  </si>
  <si>
    <t xml:space="preserve">J. Cleaner Production 476:143785 (closest prior meta-analysis)</t>
  </si>
  <si>
    <t xml:space="preserve">https://www.sciencedirect.com/science/article/pii/S0959652624032347</t>
  </si>
  <si>
    <t xml:space="preserve">[31]</t>
  </si>
  <si>
    <t xml:space="preserve">Residue sources R01 to R12</t>
  </si>
  <si>
    <t xml:space="preserve">see S13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</si>
</sst>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10" min="5" style="0" width="16"/>
    <col collapsed="false" customWidth="true" hidden="false" outlineLevel="0" max="11" min="11" style="0" width="26"/>
    <col collapsed="false" customWidth="true" hidden="false" outlineLevel="0" max="12" min="12" style="0" width="30"/>
    <col collapsed="false" customWidth="true" hidden="false" outlineLevel="0" max="15" min="13" style="0" width="16"/>
    <col collapsed="false" customWidth="true" hidden="false" outlineLevel="0" max="16" min="16" style="0" width="40"/>
    <col collapsed="false" customWidth="true" hidden="false" outlineLevel="0" max="29" min="17" style="0" width="16"/>
    <col collapsed="false" customWidth="true" hidden="false" outlineLevel="0" max="31" min="30" style="0" width="40"/>
    <col collapsed="false" customWidth="true" hidden="false" outlineLevel="0" max="32" min="32" style="0" width="50"/>
  </cols>
  <sheetData>
    <row r="1" customFormat="false" ht="26.85" hidden="false" customHeight="fals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5" t="s">
        <v>47</v>
      </c>
      <c r="Y1" s="5" t="s">
        <v>48</v>
      </c>
      <c r="Z1" s="5" t="s">
        <v>49</v>
      </c>
      <c r="AA1" s="5" t="s">
        <v>50</v>
      </c>
      <c r="AB1" s="5" t="s">
        <v>51</v>
      </c>
      <c r="AC1" s="5" t="s">
        <v>52</v>
      </c>
      <c r="AD1" s="5" t="s">
        <v>53</v>
      </c>
      <c r="AE1" s="5" t="s">
        <v>54</v>
      </c>
      <c r="AF1" s="5" t="s">
        <v>55</v>
      </c>
    </row>
    <row r="2" customFormat="false" ht="15" hidden="false" customHeight="false" outlineLevel="0" collapsed="false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6" t="n">
        <v>198</v>
      </c>
      <c r="N2" s="6" t="n">
        <v>933</v>
      </c>
      <c r="O2" s="7" t="n">
        <f aca="false">N2/M2</f>
        <v>4.71212121212121</v>
      </c>
      <c r="P2" s="7" t="n">
        <f aca="false">LN(O2)</f>
        <v>1.55013817015281</v>
      </c>
      <c r="Q2" s="2" t="s">
        <v>68</v>
      </c>
      <c r="R2" s="2" t="s">
        <v>69</v>
      </c>
      <c r="S2" s="2" t="s">
        <v>70</v>
      </c>
      <c r="T2" s="2" t="s">
        <v>60</v>
      </c>
      <c r="U2" s="2" t="s">
        <v>71</v>
      </c>
      <c r="V2" s="2" t="s">
        <v>72</v>
      </c>
      <c r="W2" s="2" t="s">
        <v>73</v>
      </c>
      <c r="X2" s="2" t="s">
        <v>73</v>
      </c>
      <c r="Y2" s="2"/>
      <c r="Z2" s="2"/>
      <c r="AA2" s="2"/>
      <c r="AB2" s="2" t="s">
        <v>74</v>
      </c>
      <c r="AC2" s="2" t="s">
        <v>75</v>
      </c>
      <c r="AD2" s="2"/>
      <c r="AE2" s="2"/>
      <c r="AF2" s="2" t="s">
        <v>76</v>
      </c>
    </row>
    <row r="3" customFormat="false" ht="15" hidden="false" customHeight="false" outlineLevel="0" collapsed="false">
      <c r="A3" s="2" t="s">
        <v>77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78</v>
      </c>
      <c r="M3" s="6" t="n">
        <v>198</v>
      </c>
      <c r="N3" s="6" t="n">
        <v>513</v>
      </c>
      <c r="O3" s="7" t="n">
        <f aca="false">N3/M3</f>
        <v>2.59090909090909</v>
      </c>
      <c r="P3" s="7" t="n">
        <f aca="false">LN(O3)</f>
        <v>0.952008814476234</v>
      </c>
      <c r="Q3" s="2" t="s">
        <v>68</v>
      </c>
      <c r="R3" s="2" t="s">
        <v>69</v>
      </c>
      <c r="S3" s="2" t="s">
        <v>70</v>
      </c>
      <c r="T3" s="2" t="s">
        <v>60</v>
      </c>
      <c r="U3" s="2" t="s">
        <v>71</v>
      </c>
      <c r="V3" s="2" t="s">
        <v>72</v>
      </c>
      <c r="W3" s="2" t="s">
        <v>73</v>
      </c>
      <c r="X3" s="2" t="s">
        <v>73</v>
      </c>
      <c r="Y3" s="2"/>
      <c r="Z3" s="2"/>
      <c r="AA3" s="2"/>
      <c r="AB3" s="2" t="s">
        <v>79</v>
      </c>
      <c r="AC3" s="2" t="s">
        <v>75</v>
      </c>
      <c r="AD3" s="2"/>
      <c r="AE3" s="2"/>
      <c r="AF3" s="2" t="s">
        <v>76</v>
      </c>
    </row>
    <row r="4" customFormat="false" ht="15" hidden="false" customHeight="false" outlineLevel="0" collapsed="false">
      <c r="A4" s="2" t="s">
        <v>80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66</v>
      </c>
      <c r="L4" s="2" t="s">
        <v>81</v>
      </c>
      <c r="M4" s="6" t="n">
        <v>198</v>
      </c>
      <c r="N4" s="6" t="n">
        <v>170</v>
      </c>
      <c r="O4" s="7" t="n">
        <f aca="false">N4/M4</f>
        <v>0.858585858585859</v>
      </c>
      <c r="P4" s="7" t="n">
        <f aca="false">LN(O4)</f>
        <v>-0.152468593644274</v>
      </c>
      <c r="Q4" s="2" t="s">
        <v>68</v>
      </c>
      <c r="R4" s="2" t="s">
        <v>69</v>
      </c>
      <c r="S4" s="2" t="s">
        <v>70</v>
      </c>
      <c r="T4" s="2" t="s">
        <v>60</v>
      </c>
      <c r="U4" s="2" t="s">
        <v>71</v>
      </c>
      <c r="V4" s="2" t="s">
        <v>72</v>
      </c>
      <c r="W4" s="2" t="s">
        <v>73</v>
      </c>
      <c r="X4" s="2" t="s">
        <v>73</v>
      </c>
      <c r="Y4" s="2"/>
      <c r="Z4" s="2"/>
      <c r="AA4" s="2"/>
      <c r="AB4" s="2" t="s">
        <v>82</v>
      </c>
      <c r="AC4" s="2" t="s">
        <v>75</v>
      </c>
      <c r="AD4" s="2"/>
      <c r="AE4" s="2"/>
      <c r="AF4" s="2" t="s">
        <v>76</v>
      </c>
    </row>
    <row r="5" customFormat="false" ht="15" hidden="false" customHeight="false" outlineLevel="0" collapsed="false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62</v>
      </c>
      <c r="H5" s="2" t="s">
        <v>89</v>
      </c>
      <c r="I5" s="2" t="s">
        <v>90</v>
      </c>
      <c r="J5" s="2" t="s">
        <v>91</v>
      </c>
      <c r="K5" s="2" t="s">
        <v>92</v>
      </c>
      <c r="L5" s="2" t="s">
        <v>93</v>
      </c>
      <c r="M5" s="6" t="n">
        <v>546.5</v>
      </c>
      <c r="N5" s="6" t="n">
        <v>963.5</v>
      </c>
      <c r="O5" s="7" t="n">
        <f aca="false">N5/M5</f>
        <v>1.76303751143641</v>
      </c>
      <c r="P5" s="7" t="n">
        <f aca="false">LN(O5)</f>
        <v>0.567038180237828</v>
      </c>
      <c r="Q5" s="2" t="s">
        <v>68</v>
      </c>
      <c r="R5" s="2" t="s">
        <v>94</v>
      </c>
      <c r="S5" s="2" t="s">
        <v>70</v>
      </c>
      <c r="T5" s="2" t="s">
        <v>60</v>
      </c>
      <c r="U5" s="2" t="s">
        <v>71</v>
      </c>
      <c r="V5" s="2" t="s">
        <v>72</v>
      </c>
      <c r="W5" s="2" t="s">
        <v>73</v>
      </c>
      <c r="X5" s="2" t="s">
        <v>73</v>
      </c>
      <c r="Y5" s="2"/>
      <c r="Z5" s="2"/>
      <c r="AA5" s="2"/>
      <c r="AB5" s="2" t="s">
        <v>74</v>
      </c>
      <c r="AC5" s="2" t="s">
        <v>75</v>
      </c>
      <c r="AD5" s="2"/>
      <c r="AE5" s="2"/>
      <c r="AF5" s="2" t="s">
        <v>95</v>
      </c>
    </row>
    <row r="6" customFormat="false" ht="15" hidden="false" customHeight="false" outlineLevel="0" collapsed="false">
      <c r="A6" s="2" t="s">
        <v>96</v>
      </c>
      <c r="B6" s="2" t="s">
        <v>97</v>
      </c>
      <c r="C6" s="2" t="s">
        <v>98</v>
      </c>
      <c r="D6" s="2" t="s">
        <v>99</v>
      </c>
      <c r="E6" s="2" t="s">
        <v>87</v>
      </c>
      <c r="F6" s="2" t="s">
        <v>100</v>
      </c>
      <c r="G6" s="2" t="s">
        <v>101</v>
      </c>
      <c r="H6" s="2" t="s">
        <v>102</v>
      </c>
      <c r="I6" s="2" t="s">
        <v>64</v>
      </c>
      <c r="J6" s="2" t="s">
        <v>103</v>
      </c>
      <c r="K6" s="2" t="s">
        <v>104</v>
      </c>
      <c r="L6" s="2" t="s">
        <v>105</v>
      </c>
      <c r="M6" s="6" t="n">
        <v>26</v>
      </c>
      <c r="N6" s="6" t="n">
        <v>100</v>
      </c>
      <c r="O6" s="7" t="n">
        <f aca="false">N6/M6</f>
        <v>3.84615384615385</v>
      </c>
      <c r="P6" s="7" t="n">
        <f aca="false">LN(O6)</f>
        <v>1.34707364796661</v>
      </c>
      <c r="Q6" s="2" t="s">
        <v>106</v>
      </c>
      <c r="R6" s="2" t="s">
        <v>107</v>
      </c>
      <c r="S6" s="2" t="s">
        <v>70</v>
      </c>
      <c r="T6" s="2" t="s">
        <v>108</v>
      </c>
      <c r="U6" s="2" t="s">
        <v>109</v>
      </c>
      <c r="V6" s="2" t="s">
        <v>72</v>
      </c>
      <c r="W6" s="2" t="s">
        <v>110</v>
      </c>
      <c r="X6" s="2" t="s">
        <v>111</v>
      </c>
      <c r="Y6" s="2" t="s">
        <v>112</v>
      </c>
      <c r="Z6" s="2" t="s">
        <v>112</v>
      </c>
      <c r="AA6" s="2" t="s">
        <v>113</v>
      </c>
      <c r="AB6" s="2" t="s">
        <v>79</v>
      </c>
      <c r="AC6" s="2" t="s">
        <v>75</v>
      </c>
      <c r="AD6" s="2"/>
      <c r="AE6" s="2" t="s">
        <v>114</v>
      </c>
      <c r="AF6" s="2" t="s">
        <v>115</v>
      </c>
    </row>
    <row r="7" customFormat="false" ht="15" hidden="false" customHeight="false" outlineLevel="0" collapsed="false">
      <c r="A7" s="2" t="s">
        <v>116</v>
      </c>
      <c r="B7" s="2" t="s">
        <v>117</v>
      </c>
      <c r="C7" s="2" t="s">
        <v>118</v>
      </c>
      <c r="D7" s="2" t="s">
        <v>119</v>
      </c>
      <c r="E7" s="2" t="s">
        <v>60</v>
      </c>
      <c r="F7" s="2" t="s">
        <v>60</v>
      </c>
      <c r="G7" s="2" t="s">
        <v>120</v>
      </c>
      <c r="H7" s="2" t="s">
        <v>121</v>
      </c>
      <c r="I7" s="2" t="s">
        <v>64</v>
      </c>
      <c r="J7" s="2" t="s">
        <v>122</v>
      </c>
      <c r="K7" s="2" t="s">
        <v>123</v>
      </c>
      <c r="L7" s="2" t="s">
        <v>93</v>
      </c>
      <c r="M7" s="6" t="n">
        <v>81.52</v>
      </c>
      <c r="N7" s="6" t="n">
        <v>425.43</v>
      </c>
      <c r="O7" s="7" t="n">
        <f aca="false">N7/M7</f>
        <v>5.2187193326791</v>
      </c>
      <c r="P7" s="7" t="n">
        <f aca="false">LN(O7)</f>
        <v>1.6522520332269</v>
      </c>
      <c r="Q7" s="2" t="s">
        <v>124</v>
      </c>
      <c r="R7" s="2" t="s">
        <v>69</v>
      </c>
      <c r="S7" s="2" t="s">
        <v>70</v>
      </c>
      <c r="T7" s="2" t="s">
        <v>60</v>
      </c>
      <c r="U7" s="2" t="s">
        <v>71</v>
      </c>
      <c r="V7" s="2" t="s">
        <v>72</v>
      </c>
      <c r="W7" s="2" t="s">
        <v>125</v>
      </c>
      <c r="X7" s="2" t="s">
        <v>73</v>
      </c>
      <c r="Y7" s="2"/>
      <c r="Z7" s="2"/>
      <c r="AA7" s="2"/>
      <c r="AB7" s="2" t="s">
        <v>74</v>
      </c>
      <c r="AC7" s="2" t="s">
        <v>75</v>
      </c>
      <c r="AD7" s="2"/>
      <c r="AE7" s="2"/>
      <c r="AF7" s="2" t="s">
        <v>126</v>
      </c>
    </row>
    <row r="8" customFormat="false" ht="15" hidden="false" customHeight="false" outlineLevel="0" collapsed="false">
      <c r="A8" s="2" t="s">
        <v>127</v>
      </c>
      <c r="B8" s="2" t="s">
        <v>128</v>
      </c>
      <c r="C8" s="2" t="s">
        <v>129</v>
      </c>
      <c r="D8" s="2" t="s">
        <v>130</v>
      </c>
      <c r="E8" s="2" t="s">
        <v>131</v>
      </c>
      <c r="F8" s="2" t="s">
        <v>132</v>
      </c>
      <c r="G8" s="2" t="s">
        <v>120</v>
      </c>
      <c r="H8" s="2" t="s">
        <v>133</v>
      </c>
      <c r="I8" s="2" t="s">
        <v>134</v>
      </c>
      <c r="J8" s="2" t="s">
        <v>122</v>
      </c>
      <c r="K8" s="2" t="s">
        <v>135</v>
      </c>
      <c r="L8" s="2" t="s">
        <v>136</v>
      </c>
      <c r="M8" s="6" t="n">
        <v>154.5</v>
      </c>
      <c r="N8" s="6" t="n">
        <v>85</v>
      </c>
      <c r="O8" s="7" t="n">
        <f aca="false">N8/M8</f>
        <v>0.550161812297735</v>
      </c>
      <c r="P8" s="7" t="n">
        <f aca="false">LN(O8)</f>
        <v>-0.597542839847484</v>
      </c>
      <c r="Q8" s="2" t="s">
        <v>124</v>
      </c>
      <c r="R8" s="2" t="s">
        <v>137</v>
      </c>
      <c r="S8" s="2" t="s">
        <v>70</v>
      </c>
      <c r="T8" s="2" t="s">
        <v>108</v>
      </c>
      <c r="U8" s="2" t="s">
        <v>71</v>
      </c>
      <c r="V8" s="2" t="s">
        <v>72</v>
      </c>
      <c r="W8" s="2" t="s">
        <v>138</v>
      </c>
      <c r="X8" s="2" t="s">
        <v>111</v>
      </c>
      <c r="Y8" s="2" t="s">
        <v>82</v>
      </c>
      <c r="Z8" s="2" t="s">
        <v>82</v>
      </c>
      <c r="AA8" s="2" t="s">
        <v>113</v>
      </c>
      <c r="AB8" s="2" t="s">
        <v>82</v>
      </c>
      <c r="AC8" s="2" t="s">
        <v>75</v>
      </c>
      <c r="AD8" s="2"/>
      <c r="AE8" s="2" t="s">
        <v>139</v>
      </c>
      <c r="AF8" s="2" t="s">
        <v>140</v>
      </c>
    </row>
    <row r="9" customFormat="false" ht="15" hidden="false" customHeight="false" outlineLevel="0" collapsed="false">
      <c r="A9" s="2" t="s">
        <v>141</v>
      </c>
      <c r="B9" s="2" t="s">
        <v>128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120</v>
      </c>
      <c r="H9" s="2" t="s">
        <v>133</v>
      </c>
      <c r="I9" s="2" t="s">
        <v>134</v>
      </c>
      <c r="J9" s="2" t="s">
        <v>122</v>
      </c>
      <c r="K9" s="2" t="s">
        <v>142</v>
      </c>
      <c r="L9" s="2" t="s">
        <v>136</v>
      </c>
      <c r="M9" s="6" t="n">
        <v>128.8</v>
      </c>
      <c r="N9" s="6" t="n">
        <v>85</v>
      </c>
      <c r="O9" s="7" t="n">
        <f aca="false">N9/M9</f>
        <v>0.659937888198758</v>
      </c>
      <c r="P9" s="7" t="n">
        <f aca="false">LN(O9)</f>
        <v>-0.415609557179937</v>
      </c>
      <c r="Q9" s="2" t="s">
        <v>124</v>
      </c>
      <c r="R9" s="2" t="s">
        <v>143</v>
      </c>
      <c r="S9" s="2" t="s">
        <v>70</v>
      </c>
      <c r="T9" s="2" t="s">
        <v>108</v>
      </c>
      <c r="U9" s="2" t="s">
        <v>71</v>
      </c>
      <c r="V9" s="2" t="s">
        <v>72</v>
      </c>
      <c r="W9" s="2" t="s">
        <v>138</v>
      </c>
      <c r="X9" s="2" t="s">
        <v>111</v>
      </c>
      <c r="Y9" s="2" t="s">
        <v>82</v>
      </c>
      <c r="Z9" s="2" t="s">
        <v>82</v>
      </c>
      <c r="AA9" s="2" t="s">
        <v>113</v>
      </c>
      <c r="AB9" s="2" t="s">
        <v>82</v>
      </c>
      <c r="AC9" s="2" t="s">
        <v>75</v>
      </c>
      <c r="AD9" s="2"/>
      <c r="AE9" s="2" t="s">
        <v>139</v>
      </c>
      <c r="AF9" s="2" t="s">
        <v>140</v>
      </c>
    </row>
    <row r="10" customFormat="false" ht="15" hidden="false" customHeight="false" outlineLevel="0" collapsed="false">
      <c r="A10" s="2" t="s">
        <v>144</v>
      </c>
      <c r="B10" s="2" t="s">
        <v>145</v>
      </c>
      <c r="C10" s="2" t="s">
        <v>146</v>
      </c>
      <c r="D10" s="2" t="s">
        <v>147</v>
      </c>
      <c r="E10" s="2" t="s">
        <v>148</v>
      </c>
      <c r="F10" s="2" t="s">
        <v>149</v>
      </c>
      <c r="G10" s="2" t="s">
        <v>62</v>
      </c>
      <c r="H10" s="2" t="s">
        <v>150</v>
      </c>
      <c r="I10" s="2" t="s">
        <v>90</v>
      </c>
      <c r="J10" s="2" t="s">
        <v>109</v>
      </c>
      <c r="K10" s="2" t="s">
        <v>151</v>
      </c>
      <c r="L10" s="2" t="s">
        <v>152</v>
      </c>
      <c r="M10" s="6" t="n">
        <v>3</v>
      </c>
      <c r="N10" s="6" t="n">
        <v>2</v>
      </c>
      <c r="O10" s="7" t="n">
        <f aca="false">N10/M10</f>
        <v>0.666666666666667</v>
      </c>
      <c r="P10" s="7" t="n">
        <f aca="false">LN(O10)</f>
        <v>-0.405465108108164</v>
      </c>
      <c r="Q10" s="2" t="s">
        <v>153</v>
      </c>
      <c r="R10" s="2" t="s">
        <v>154</v>
      </c>
      <c r="S10" s="2" t="s">
        <v>70</v>
      </c>
      <c r="T10" s="2" t="s">
        <v>108</v>
      </c>
      <c r="U10" s="2" t="s">
        <v>109</v>
      </c>
      <c r="V10" s="2" t="s">
        <v>72</v>
      </c>
      <c r="W10" s="2" t="s">
        <v>73</v>
      </c>
      <c r="X10" s="2" t="s">
        <v>73</v>
      </c>
      <c r="Y10" s="2"/>
      <c r="Z10" s="2"/>
      <c r="AA10" s="2"/>
      <c r="AB10" s="2" t="s">
        <v>79</v>
      </c>
      <c r="AC10" s="2" t="s">
        <v>155</v>
      </c>
      <c r="AD10" s="2" t="s">
        <v>156</v>
      </c>
      <c r="AE10" s="2" t="s">
        <v>157</v>
      </c>
      <c r="AF10" s="2" t="s">
        <v>158</v>
      </c>
    </row>
    <row r="11" customFormat="false" ht="15" hidden="false" customHeight="false" outlineLevel="0" collapsed="false">
      <c r="A11" s="2" t="s">
        <v>159</v>
      </c>
      <c r="B11" s="2" t="s">
        <v>160</v>
      </c>
      <c r="C11" s="2" t="s">
        <v>161</v>
      </c>
      <c r="D11" s="2" t="s">
        <v>162</v>
      </c>
      <c r="E11" s="2" t="s">
        <v>163</v>
      </c>
      <c r="F11" s="2" t="s">
        <v>164</v>
      </c>
      <c r="G11" s="2" t="s">
        <v>101</v>
      </c>
      <c r="H11" s="2" t="s">
        <v>165</v>
      </c>
      <c r="I11" s="2" t="s">
        <v>64</v>
      </c>
      <c r="J11" s="2" t="s">
        <v>166</v>
      </c>
      <c r="K11" s="2" t="s">
        <v>167</v>
      </c>
      <c r="L11" s="2" t="s">
        <v>168</v>
      </c>
      <c r="M11" s="6" t="n">
        <v>3.52</v>
      </c>
      <c r="N11" s="6" t="n">
        <v>1</v>
      </c>
      <c r="O11" s="7" t="n">
        <f aca="false">N11/M11</f>
        <v>0.284090909090909</v>
      </c>
      <c r="P11" s="7" t="n">
        <f aca="false">LN(O11)</f>
        <v>-1.25846098961001</v>
      </c>
      <c r="Q11" s="2" t="s">
        <v>169</v>
      </c>
      <c r="R11" s="2" t="s">
        <v>170</v>
      </c>
      <c r="S11" s="2" t="s">
        <v>171</v>
      </c>
      <c r="T11" s="2" t="s">
        <v>108</v>
      </c>
      <c r="U11" s="2" t="s">
        <v>71</v>
      </c>
      <c r="V11" s="2" t="s">
        <v>113</v>
      </c>
      <c r="W11" s="2" t="s">
        <v>172</v>
      </c>
      <c r="X11" s="2" t="s">
        <v>111</v>
      </c>
      <c r="Y11" s="2" t="s">
        <v>79</v>
      </c>
      <c r="Z11" s="2" t="s">
        <v>79</v>
      </c>
      <c r="AA11" s="2" t="s">
        <v>113</v>
      </c>
      <c r="AB11" s="2" t="s">
        <v>173</v>
      </c>
      <c r="AC11" s="2" t="s">
        <v>174</v>
      </c>
      <c r="AD11" s="2" t="s">
        <v>175</v>
      </c>
      <c r="AE11" s="2" t="s">
        <v>176</v>
      </c>
      <c r="AF11" s="2" t="s">
        <v>177</v>
      </c>
    </row>
    <row r="12" customFormat="false" ht="15" hidden="false" customHeight="false" outlineLevel="0" collapsed="false">
      <c r="A12" s="2" t="s">
        <v>178</v>
      </c>
      <c r="B12" s="2" t="s">
        <v>160</v>
      </c>
      <c r="C12" s="2" t="s">
        <v>161</v>
      </c>
      <c r="D12" s="2" t="s">
        <v>162</v>
      </c>
      <c r="E12" s="2" t="s">
        <v>163</v>
      </c>
      <c r="F12" s="2" t="s">
        <v>164</v>
      </c>
      <c r="G12" s="2" t="s">
        <v>101</v>
      </c>
      <c r="H12" s="2" t="s">
        <v>179</v>
      </c>
      <c r="I12" s="2" t="s">
        <v>64</v>
      </c>
      <c r="J12" s="2" t="s">
        <v>166</v>
      </c>
      <c r="K12" s="2" t="s">
        <v>180</v>
      </c>
      <c r="L12" s="2" t="s">
        <v>168</v>
      </c>
      <c r="M12" s="6" t="n">
        <v>5.26</v>
      </c>
      <c r="N12" s="6" t="n">
        <v>1</v>
      </c>
      <c r="O12" s="7" t="n">
        <f aca="false">N12/M12</f>
        <v>0.190114068441065</v>
      </c>
      <c r="P12" s="7" t="n">
        <f aca="false">LN(O12)</f>
        <v>-1.66013102674962</v>
      </c>
      <c r="Q12" s="2" t="s">
        <v>169</v>
      </c>
      <c r="R12" s="2" t="s">
        <v>181</v>
      </c>
      <c r="S12" s="2" t="s">
        <v>171</v>
      </c>
      <c r="T12" s="2" t="s">
        <v>108</v>
      </c>
      <c r="U12" s="2" t="s">
        <v>71</v>
      </c>
      <c r="V12" s="2" t="s">
        <v>113</v>
      </c>
      <c r="W12" s="2" t="s">
        <v>172</v>
      </c>
      <c r="X12" s="2" t="s">
        <v>111</v>
      </c>
      <c r="Y12" s="2" t="s">
        <v>79</v>
      </c>
      <c r="Z12" s="2" t="s">
        <v>79</v>
      </c>
      <c r="AA12" s="2" t="s">
        <v>113</v>
      </c>
      <c r="AB12" s="2" t="s">
        <v>173</v>
      </c>
      <c r="AC12" s="2" t="s">
        <v>174</v>
      </c>
      <c r="AD12" s="2" t="s">
        <v>175</v>
      </c>
      <c r="AE12" s="2" t="s">
        <v>176</v>
      </c>
      <c r="AF12" s="2" t="s">
        <v>177</v>
      </c>
    </row>
    <row r="13" customFormat="false" ht="15" hidden="false" customHeight="false" outlineLevel="0" collapsed="false">
      <c r="A13" s="2" t="s">
        <v>182</v>
      </c>
      <c r="B13" s="2" t="s">
        <v>183</v>
      </c>
      <c r="C13" s="2" t="s">
        <v>184</v>
      </c>
      <c r="D13" s="2" t="s">
        <v>185</v>
      </c>
      <c r="E13" s="2" t="s">
        <v>131</v>
      </c>
      <c r="F13" s="2" t="s">
        <v>61</v>
      </c>
      <c r="G13" s="2" t="s">
        <v>62</v>
      </c>
      <c r="H13" s="2" t="s">
        <v>186</v>
      </c>
      <c r="I13" s="2" t="s">
        <v>134</v>
      </c>
      <c r="J13" s="2" t="s">
        <v>122</v>
      </c>
      <c r="K13" s="2" t="s">
        <v>123</v>
      </c>
      <c r="L13" s="2" t="s">
        <v>187</v>
      </c>
      <c r="M13" s="6" t="n">
        <v>0.186</v>
      </c>
      <c r="N13" s="6" t="n">
        <v>0.43</v>
      </c>
      <c r="O13" s="7" t="n">
        <f aca="false">N13/M13</f>
        <v>2.31182795698925</v>
      </c>
      <c r="P13" s="7" t="n">
        <f aca="false">LN(O13)</f>
        <v>0.838038534974407</v>
      </c>
      <c r="Q13" s="2" t="s">
        <v>68</v>
      </c>
      <c r="R13" s="2" t="s">
        <v>188</v>
      </c>
      <c r="S13" s="2" t="s">
        <v>171</v>
      </c>
      <c r="T13" s="2" t="s">
        <v>108</v>
      </c>
      <c r="U13" s="2" t="s">
        <v>71</v>
      </c>
      <c r="V13" s="2" t="s">
        <v>113</v>
      </c>
      <c r="W13" s="2" t="s">
        <v>73</v>
      </c>
      <c r="X13" s="2" t="s">
        <v>73</v>
      </c>
      <c r="Y13" s="2"/>
      <c r="Z13" s="2"/>
      <c r="AA13" s="2"/>
      <c r="AB13" s="2" t="s">
        <v>74</v>
      </c>
      <c r="AC13" s="2" t="s">
        <v>75</v>
      </c>
      <c r="AD13" s="2"/>
      <c r="AE13" s="2"/>
      <c r="AF13" s="2" t="s">
        <v>189</v>
      </c>
    </row>
    <row r="14" customFormat="false" ht="15" hidden="false" customHeight="false" outlineLevel="0" collapsed="false">
      <c r="A14" s="2" t="s">
        <v>190</v>
      </c>
      <c r="B14" s="2" t="s">
        <v>183</v>
      </c>
      <c r="C14" s="2" t="s">
        <v>184</v>
      </c>
      <c r="D14" s="2" t="s">
        <v>185</v>
      </c>
      <c r="E14" s="2" t="s">
        <v>131</v>
      </c>
      <c r="F14" s="2" t="s">
        <v>61</v>
      </c>
      <c r="G14" s="2" t="s">
        <v>62</v>
      </c>
      <c r="H14" s="2" t="s">
        <v>186</v>
      </c>
      <c r="I14" s="2" t="s">
        <v>134</v>
      </c>
      <c r="J14" s="2" t="s">
        <v>122</v>
      </c>
      <c r="K14" s="2" t="s">
        <v>123</v>
      </c>
      <c r="L14" s="2" t="s">
        <v>191</v>
      </c>
      <c r="M14" s="6" t="n">
        <v>0.186</v>
      </c>
      <c r="N14" s="6" t="n">
        <v>0.208</v>
      </c>
      <c r="O14" s="7" t="n">
        <f aca="false">N14/M14</f>
        <v>1.11827956989247</v>
      </c>
      <c r="P14" s="7" t="n">
        <f aca="false">LN(O14)</f>
        <v>0.111791405988117</v>
      </c>
      <c r="Q14" s="2" t="s">
        <v>68</v>
      </c>
      <c r="R14" s="2" t="s">
        <v>192</v>
      </c>
      <c r="S14" s="2" t="s">
        <v>171</v>
      </c>
      <c r="T14" s="2" t="s">
        <v>108</v>
      </c>
      <c r="U14" s="2" t="s">
        <v>71</v>
      </c>
      <c r="V14" s="2" t="s">
        <v>113</v>
      </c>
      <c r="W14" s="2" t="s">
        <v>73</v>
      </c>
      <c r="X14" s="2" t="s">
        <v>73</v>
      </c>
      <c r="Y14" s="2"/>
      <c r="Z14" s="2"/>
      <c r="AA14" s="2"/>
      <c r="AB14" s="2" t="s">
        <v>193</v>
      </c>
      <c r="AC14" s="2" t="s">
        <v>75</v>
      </c>
      <c r="AD14" s="2"/>
      <c r="AE14" s="2"/>
      <c r="AF14" s="2" t="s">
        <v>189</v>
      </c>
    </row>
    <row r="15" customFormat="false" ht="15" hidden="false" customHeight="false" outlineLevel="0" collapsed="false">
      <c r="A15" s="2" t="s">
        <v>194</v>
      </c>
      <c r="B15" s="2" t="s">
        <v>183</v>
      </c>
      <c r="C15" s="2" t="s">
        <v>184</v>
      </c>
      <c r="D15" s="2" t="s">
        <v>185</v>
      </c>
      <c r="E15" s="2" t="s">
        <v>131</v>
      </c>
      <c r="F15" s="2" t="s">
        <v>61</v>
      </c>
      <c r="G15" s="2" t="s">
        <v>62</v>
      </c>
      <c r="H15" s="2" t="s">
        <v>186</v>
      </c>
      <c r="I15" s="2" t="s">
        <v>134</v>
      </c>
      <c r="J15" s="2" t="s">
        <v>122</v>
      </c>
      <c r="K15" s="2" t="s">
        <v>123</v>
      </c>
      <c r="L15" s="2" t="s">
        <v>195</v>
      </c>
      <c r="M15" s="6" t="n">
        <v>0.186</v>
      </c>
      <c r="N15" s="6" t="n">
        <v>0.185</v>
      </c>
      <c r="O15" s="7" t="n">
        <f aca="false">N15/M15</f>
        <v>0.994623655913979</v>
      </c>
      <c r="P15" s="7" t="n">
        <f aca="false">LN(O15)</f>
        <v>-0.00539084863487642</v>
      </c>
      <c r="Q15" s="2" t="s">
        <v>68</v>
      </c>
      <c r="R15" s="2" t="s">
        <v>196</v>
      </c>
      <c r="S15" s="2" t="s">
        <v>171</v>
      </c>
      <c r="T15" s="2" t="s">
        <v>108</v>
      </c>
      <c r="U15" s="2" t="s">
        <v>71</v>
      </c>
      <c r="V15" s="2" t="s">
        <v>113</v>
      </c>
      <c r="W15" s="2" t="s">
        <v>73</v>
      </c>
      <c r="X15" s="2" t="s">
        <v>73</v>
      </c>
      <c r="Y15" s="2"/>
      <c r="Z15" s="2"/>
      <c r="AA15" s="2"/>
      <c r="AB15" s="2" t="s">
        <v>193</v>
      </c>
      <c r="AC15" s="2" t="s">
        <v>155</v>
      </c>
      <c r="AD15" s="2" t="s">
        <v>197</v>
      </c>
      <c r="AE15" s="2"/>
      <c r="AF15" s="2" t="s">
        <v>189</v>
      </c>
    </row>
    <row r="16" customFormat="false" ht="15" hidden="false" customHeight="false" outlineLevel="0" collapsed="false">
      <c r="A16" s="2" t="s">
        <v>198</v>
      </c>
      <c r="B16" s="2" t="s">
        <v>183</v>
      </c>
      <c r="C16" s="2" t="s">
        <v>184</v>
      </c>
      <c r="D16" s="2" t="s">
        <v>185</v>
      </c>
      <c r="E16" s="2" t="s">
        <v>131</v>
      </c>
      <c r="F16" s="2" t="s">
        <v>61</v>
      </c>
      <c r="G16" s="2" t="s">
        <v>62</v>
      </c>
      <c r="H16" s="2" t="s">
        <v>186</v>
      </c>
      <c r="I16" s="2" t="s">
        <v>134</v>
      </c>
      <c r="J16" s="2" t="s">
        <v>122</v>
      </c>
      <c r="K16" s="2" t="s">
        <v>199</v>
      </c>
      <c r="L16" s="2" t="s">
        <v>200</v>
      </c>
      <c r="M16" s="6" t="n">
        <v>0.186</v>
      </c>
      <c r="N16" s="6" t="n">
        <v>0.152</v>
      </c>
      <c r="O16" s="7" t="n">
        <f aca="false">N16/M16</f>
        <v>0.817204301075269</v>
      </c>
      <c r="P16" s="7" t="n">
        <f aca="false">LN(O16)</f>
        <v>-0.201866152866925</v>
      </c>
      <c r="Q16" s="2" t="s">
        <v>68</v>
      </c>
      <c r="R16" s="2" t="s">
        <v>201</v>
      </c>
      <c r="S16" s="2" t="s">
        <v>171</v>
      </c>
      <c r="T16" s="2" t="s">
        <v>108</v>
      </c>
      <c r="U16" s="2" t="s">
        <v>71</v>
      </c>
      <c r="V16" s="2" t="s">
        <v>113</v>
      </c>
      <c r="W16" s="2" t="s">
        <v>73</v>
      </c>
      <c r="X16" s="2" t="s">
        <v>73</v>
      </c>
      <c r="Y16" s="2"/>
      <c r="Z16" s="2"/>
      <c r="AA16" s="2"/>
      <c r="AB16" s="2" t="s">
        <v>202</v>
      </c>
      <c r="AC16" s="2" t="s">
        <v>174</v>
      </c>
      <c r="AD16" s="2" t="s">
        <v>203</v>
      </c>
      <c r="AE16" s="2"/>
      <c r="AF16" s="2" t="s">
        <v>189</v>
      </c>
    </row>
    <row r="17" customFormat="false" ht="15" hidden="false" customHeight="false" outlineLevel="0" collapsed="false">
      <c r="A17" s="2" t="s">
        <v>204</v>
      </c>
      <c r="B17" s="2" t="s">
        <v>205</v>
      </c>
      <c r="C17" s="2" t="s">
        <v>206</v>
      </c>
      <c r="D17" s="2" t="s">
        <v>207</v>
      </c>
      <c r="E17" s="2" t="s">
        <v>208</v>
      </c>
      <c r="F17" s="2" t="s">
        <v>209</v>
      </c>
      <c r="G17" s="2" t="s">
        <v>62</v>
      </c>
      <c r="H17" s="2" t="s">
        <v>179</v>
      </c>
      <c r="I17" s="2" t="s">
        <v>64</v>
      </c>
      <c r="J17" s="2" t="s">
        <v>122</v>
      </c>
      <c r="K17" s="2" t="s">
        <v>210</v>
      </c>
      <c r="L17" s="2" t="s">
        <v>211</v>
      </c>
      <c r="M17" s="6" t="n">
        <v>0.078</v>
      </c>
      <c r="N17" s="6" t="n">
        <v>0.113</v>
      </c>
      <c r="O17" s="7" t="n">
        <f aca="false">N17/M17</f>
        <v>1.44871794871795</v>
      </c>
      <c r="P17" s="7" t="n">
        <f aca="false">LN(O17)</f>
        <v>0.370678992022749</v>
      </c>
      <c r="Q17" s="2" t="s">
        <v>212</v>
      </c>
      <c r="R17" s="2" t="s">
        <v>213</v>
      </c>
      <c r="S17" s="2" t="s">
        <v>214</v>
      </c>
      <c r="T17" s="2" t="s">
        <v>215</v>
      </c>
      <c r="U17" s="2" t="s">
        <v>71</v>
      </c>
      <c r="V17" s="2" t="s">
        <v>72</v>
      </c>
      <c r="W17" s="2" t="s">
        <v>73</v>
      </c>
      <c r="X17" s="2" t="s">
        <v>73</v>
      </c>
      <c r="Y17" s="2"/>
      <c r="Z17" s="2"/>
      <c r="AA17" s="2"/>
      <c r="AB17" s="2" t="s">
        <v>82</v>
      </c>
      <c r="AC17" s="2" t="s">
        <v>155</v>
      </c>
      <c r="AD17" s="2" t="s">
        <v>216</v>
      </c>
      <c r="AE17" s="2" t="s">
        <v>217</v>
      </c>
      <c r="AF17" s="2" t="s">
        <v>189</v>
      </c>
    </row>
    <row r="18" customFormat="false" ht="15" hidden="false" customHeight="false" outlineLevel="0" collapsed="false">
      <c r="A18" s="2" t="s">
        <v>218</v>
      </c>
      <c r="B18" s="2" t="s">
        <v>205</v>
      </c>
      <c r="C18" s="2" t="s">
        <v>206</v>
      </c>
      <c r="D18" s="2" t="s">
        <v>207</v>
      </c>
      <c r="E18" s="2" t="s">
        <v>208</v>
      </c>
      <c r="F18" s="2" t="s">
        <v>209</v>
      </c>
      <c r="G18" s="2" t="s">
        <v>62</v>
      </c>
      <c r="H18" s="2" t="s">
        <v>179</v>
      </c>
      <c r="I18" s="2" t="s">
        <v>64</v>
      </c>
      <c r="J18" s="2" t="s">
        <v>122</v>
      </c>
      <c r="K18" s="2" t="s">
        <v>210</v>
      </c>
      <c r="L18" s="2" t="s">
        <v>219</v>
      </c>
      <c r="M18" s="6" t="n">
        <v>0.078</v>
      </c>
      <c r="N18" s="6" t="n">
        <v>0.826</v>
      </c>
      <c r="O18" s="7" t="n">
        <f aca="false">N18/M18</f>
        <v>10.5897435897436</v>
      </c>
      <c r="P18" s="7" t="n">
        <f aca="false">LN(O18)</f>
        <v>2.35988594683139</v>
      </c>
      <c r="Q18" s="2" t="s">
        <v>212</v>
      </c>
      <c r="R18" s="2" t="s">
        <v>213</v>
      </c>
      <c r="S18" s="2" t="s">
        <v>214</v>
      </c>
      <c r="T18" s="2" t="s">
        <v>215</v>
      </c>
      <c r="U18" s="2" t="s">
        <v>71</v>
      </c>
      <c r="V18" s="2" t="s">
        <v>72</v>
      </c>
      <c r="W18" s="2" t="s">
        <v>73</v>
      </c>
      <c r="X18" s="2" t="s">
        <v>73</v>
      </c>
      <c r="Y18" s="2"/>
      <c r="Z18" s="2"/>
      <c r="AA18" s="2"/>
      <c r="AB18" s="2" t="s">
        <v>79</v>
      </c>
      <c r="AC18" s="2" t="s">
        <v>155</v>
      </c>
      <c r="AD18" s="2" t="s">
        <v>220</v>
      </c>
      <c r="AE18" s="2" t="s">
        <v>221</v>
      </c>
      <c r="AF18" s="2" t="s">
        <v>189</v>
      </c>
    </row>
    <row r="19" customFormat="false" ht="15" hidden="false" customHeight="false" outlineLevel="0" collapsed="false">
      <c r="A19" s="2" t="s">
        <v>222</v>
      </c>
      <c r="B19" s="2" t="s">
        <v>223</v>
      </c>
      <c r="C19" s="2" t="s">
        <v>224</v>
      </c>
      <c r="D19" s="2" t="s">
        <v>225</v>
      </c>
      <c r="E19" s="2" t="s">
        <v>226</v>
      </c>
      <c r="F19" s="2" t="s">
        <v>227</v>
      </c>
      <c r="G19" s="2" t="s">
        <v>62</v>
      </c>
      <c r="H19" s="2" t="s">
        <v>121</v>
      </c>
      <c r="I19" s="2" t="s">
        <v>64</v>
      </c>
      <c r="J19" s="2" t="s">
        <v>122</v>
      </c>
      <c r="K19" s="2" t="s">
        <v>66</v>
      </c>
      <c r="L19" s="2" t="s">
        <v>228</v>
      </c>
      <c r="M19" s="6" t="n">
        <v>0.293</v>
      </c>
      <c r="N19" s="6" t="n">
        <v>0.555</v>
      </c>
      <c r="O19" s="7" t="n">
        <f aca="false">N19/M19</f>
        <v>1.89419795221843</v>
      </c>
      <c r="P19" s="7" t="n">
        <f aca="false">LN(O19)</f>
        <v>0.638795504729367</v>
      </c>
      <c r="Q19" s="2" t="s">
        <v>212</v>
      </c>
      <c r="R19" s="2" t="s">
        <v>229</v>
      </c>
      <c r="S19" s="2" t="s">
        <v>214</v>
      </c>
      <c r="T19" s="2" t="s">
        <v>215</v>
      </c>
      <c r="U19" s="2" t="s">
        <v>71</v>
      </c>
      <c r="V19" s="2" t="s">
        <v>113</v>
      </c>
      <c r="W19" s="2" t="s">
        <v>73</v>
      </c>
      <c r="X19" s="2" t="s">
        <v>73</v>
      </c>
      <c r="Y19" s="2"/>
      <c r="Z19" s="2"/>
      <c r="AA19" s="2"/>
      <c r="AB19" s="2" t="s">
        <v>74</v>
      </c>
      <c r="AC19" s="2" t="s">
        <v>75</v>
      </c>
      <c r="AD19" s="2"/>
      <c r="AE19" s="2" t="s">
        <v>230</v>
      </c>
      <c r="AF19" s="2" t="s">
        <v>189</v>
      </c>
    </row>
    <row r="20" customFormat="false" ht="15" hidden="false" customHeight="false" outlineLevel="0" collapsed="false">
      <c r="A20" s="2" t="s">
        <v>231</v>
      </c>
      <c r="B20" s="2" t="s">
        <v>223</v>
      </c>
      <c r="C20" s="2" t="s">
        <v>224</v>
      </c>
      <c r="D20" s="2" t="s">
        <v>225</v>
      </c>
      <c r="E20" s="2" t="s">
        <v>226</v>
      </c>
      <c r="F20" s="2" t="s">
        <v>227</v>
      </c>
      <c r="G20" s="2" t="s">
        <v>62</v>
      </c>
      <c r="H20" s="2" t="s">
        <v>121</v>
      </c>
      <c r="I20" s="2" t="s">
        <v>64</v>
      </c>
      <c r="J20" s="2" t="s">
        <v>122</v>
      </c>
      <c r="K20" s="2" t="s">
        <v>66</v>
      </c>
      <c r="L20" s="2" t="s">
        <v>78</v>
      </c>
      <c r="M20" s="6" t="n">
        <v>0.293</v>
      </c>
      <c r="N20" s="6" t="n">
        <v>0.312</v>
      </c>
      <c r="O20" s="7" t="n">
        <f aca="false">N20/M20</f>
        <v>1.06484641638225</v>
      </c>
      <c r="P20" s="7" t="n">
        <f aca="false">LN(O20)</f>
        <v>0.0628305787924151</v>
      </c>
      <c r="Q20" s="2" t="s">
        <v>212</v>
      </c>
      <c r="R20" s="2" t="s">
        <v>229</v>
      </c>
      <c r="S20" s="2" t="s">
        <v>214</v>
      </c>
      <c r="T20" s="2" t="s">
        <v>215</v>
      </c>
      <c r="U20" s="2" t="s">
        <v>71</v>
      </c>
      <c r="V20" s="2" t="s">
        <v>113</v>
      </c>
      <c r="W20" s="2" t="s">
        <v>73</v>
      </c>
      <c r="X20" s="2" t="s">
        <v>73</v>
      </c>
      <c r="Y20" s="2"/>
      <c r="Z20" s="2"/>
      <c r="AA20" s="2"/>
      <c r="AB20" s="2" t="s">
        <v>79</v>
      </c>
      <c r="AC20" s="2" t="s">
        <v>75</v>
      </c>
      <c r="AD20" s="2"/>
      <c r="AE20" s="2" t="s">
        <v>232</v>
      </c>
      <c r="AF20" s="2" t="s">
        <v>189</v>
      </c>
    </row>
    <row r="21" customFormat="false" ht="15" hidden="false" customHeight="false" outlineLevel="0" collapsed="false">
      <c r="A21" s="2" t="s">
        <v>233</v>
      </c>
      <c r="B21" s="2" t="s">
        <v>223</v>
      </c>
      <c r="C21" s="2" t="s">
        <v>224</v>
      </c>
      <c r="D21" s="2" t="s">
        <v>225</v>
      </c>
      <c r="E21" s="2" t="s">
        <v>226</v>
      </c>
      <c r="F21" s="2" t="s">
        <v>227</v>
      </c>
      <c r="G21" s="2" t="s">
        <v>62</v>
      </c>
      <c r="H21" s="2" t="s">
        <v>121</v>
      </c>
      <c r="I21" s="2" t="s">
        <v>64</v>
      </c>
      <c r="J21" s="2" t="s">
        <v>122</v>
      </c>
      <c r="K21" s="2" t="s">
        <v>234</v>
      </c>
      <c r="L21" s="2" t="s">
        <v>228</v>
      </c>
      <c r="M21" s="6" t="n">
        <v>0.151</v>
      </c>
      <c r="N21" s="6" t="n">
        <v>0.555</v>
      </c>
      <c r="O21" s="7" t="n">
        <f aca="false">N21/M21</f>
        <v>3.67549668874172</v>
      </c>
      <c r="P21" s="7" t="n">
        <f aca="false">LN(O21)</f>
        <v>1.30168827693151</v>
      </c>
      <c r="Q21" s="2" t="s">
        <v>212</v>
      </c>
      <c r="R21" s="2" t="s">
        <v>229</v>
      </c>
      <c r="S21" s="2" t="s">
        <v>214</v>
      </c>
      <c r="T21" s="2" t="s">
        <v>215</v>
      </c>
      <c r="U21" s="2" t="s">
        <v>71</v>
      </c>
      <c r="V21" s="2" t="s">
        <v>113</v>
      </c>
      <c r="W21" s="2" t="s">
        <v>73</v>
      </c>
      <c r="X21" s="2" t="s">
        <v>73</v>
      </c>
      <c r="Y21" s="2"/>
      <c r="Z21" s="2"/>
      <c r="AA21" s="2"/>
      <c r="AB21" s="2" t="s">
        <v>74</v>
      </c>
      <c r="AC21" s="2" t="s">
        <v>75</v>
      </c>
      <c r="AD21" s="2"/>
      <c r="AE21" s="2" t="s">
        <v>232</v>
      </c>
      <c r="AF21" s="2" t="s">
        <v>189</v>
      </c>
    </row>
    <row r="22" customFormat="false" ht="15" hidden="false" customHeight="false" outlineLevel="0" collapsed="false">
      <c r="A22" s="2" t="s">
        <v>235</v>
      </c>
      <c r="B22" s="2" t="s">
        <v>223</v>
      </c>
      <c r="C22" s="2" t="s">
        <v>224</v>
      </c>
      <c r="D22" s="2" t="s">
        <v>225</v>
      </c>
      <c r="E22" s="2" t="s">
        <v>226</v>
      </c>
      <c r="F22" s="2" t="s">
        <v>227</v>
      </c>
      <c r="G22" s="2" t="s">
        <v>62</v>
      </c>
      <c r="H22" s="2" t="s">
        <v>121</v>
      </c>
      <c r="I22" s="2" t="s">
        <v>64</v>
      </c>
      <c r="J22" s="2" t="s">
        <v>122</v>
      </c>
      <c r="K22" s="2" t="s">
        <v>234</v>
      </c>
      <c r="L22" s="2" t="s">
        <v>78</v>
      </c>
      <c r="M22" s="6" t="n">
        <v>0.151</v>
      </c>
      <c r="N22" s="6" t="n">
        <v>0.312</v>
      </c>
      <c r="O22" s="7" t="n">
        <f aca="false">N22/M22</f>
        <v>2.06622516556291</v>
      </c>
      <c r="P22" s="7" t="n">
        <f aca="false">LN(O22)</f>
        <v>0.725723350994558</v>
      </c>
      <c r="Q22" s="2" t="s">
        <v>212</v>
      </c>
      <c r="R22" s="2" t="s">
        <v>229</v>
      </c>
      <c r="S22" s="2" t="s">
        <v>214</v>
      </c>
      <c r="T22" s="2" t="s">
        <v>215</v>
      </c>
      <c r="U22" s="2" t="s">
        <v>71</v>
      </c>
      <c r="V22" s="2" t="s">
        <v>113</v>
      </c>
      <c r="W22" s="2" t="s">
        <v>73</v>
      </c>
      <c r="X22" s="2" t="s">
        <v>73</v>
      </c>
      <c r="Y22" s="2"/>
      <c r="Z22" s="2"/>
      <c r="AA22" s="2"/>
      <c r="AB22" s="2" t="s">
        <v>79</v>
      </c>
      <c r="AC22" s="2" t="s">
        <v>75</v>
      </c>
      <c r="AD22" s="2"/>
      <c r="AE22" s="2" t="s">
        <v>232</v>
      </c>
      <c r="AF22" s="2" t="s">
        <v>189</v>
      </c>
    </row>
    <row r="23" customFormat="false" ht="15" hidden="false" customHeight="false" outlineLevel="0" collapsed="false">
      <c r="A23" s="2" t="s">
        <v>236</v>
      </c>
      <c r="B23" s="2" t="s">
        <v>237</v>
      </c>
      <c r="C23" s="2" t="s">
        <v>238</v>
      </c>
      <c r="D23" s="2" t="s">
        <v>239</v>
      </c>
      <c r="E23" s="2" t="s">
        <v>240</v>
      </c>
      <c r="F23" s="2" t="s">
        <v>241</v>
      </c>
      <c r="G23" s="2" t="s">
        <v>101</v>
      </c>
      <c r="H23" s="2" t="s">
        <v>179</v>
      </c>
      <c r="I23" s="2" t="s">
        <v>64</v>
      </c>
      <c r="J23" s="2" t="s">
        <v>242</v>
      </c>
      <c r="K23" s="2" t="s">
        <v>234</v>
      </c>
      <c r="L23" s="2" t="s">
        <v>243</v>
      </c>
      <c r="M23" s="6" t="n">
        <v>0.044</v>
      </c>
      <c r="N23" s="6" t="n">
        <v>2.57</v>
      </c>
      <c r="O23" s="7" t="n">
        <f aca="false">N23/M23</f>
        <v>58.4090909090909</v>
      </c>
      <c r="P23" s="7" t="n">
        <f aca="false">LN(O23)</f>
        <v>4.067471543971</v>
      </c>
      <c r="Q23" s="2" t="s">
        <v>244</v>
      </c>
      <c r="R23" s="2" t="s">
        <v>245</v>
      </c>
      <c r="S23" s="2" t="s">
        <v>214</v>
      </c>
      <c r="T23" s="2" t="s">
        <v>60</v>
      </c>
      <c r="U23" s="2" t="s">
        <v>71</v>
      </c>
      <c r="V23" s="2" t="s">
        <v>72</v>
      </c>
      <c r="W23" s="2" t="s">
        <v>73</v>
      </c>
      <c r="X23" s="2" t="s">
        <v>73</v>
      </c>
      <c r="Y23" s="2"/>
      <c r="Z23" s="2"/>
      <c r="AA23" s="2"/>
      <c r="AB23" s="2" t="s">
        <v>74</v>
      </c>
      <c r="AC23" s="2" t="s">
        <v>155</v>
      </c>
      <c r="AD23" s="2" t="s">
        <v>246</v>
      </c>
      <c r="AE23" s="2" t="s">
        <v>247</v>
      </c>
      <c r="AF23" s="2" t="s">
        <v>189</v>
      </c>
    </row>
    <row r="24" customFormat="false" ht="15" hidden="false" customHeight="false" outlineLevel="0" collapsed="false">
      <c r="A24" s="2" t="s">
        <v>248</v>
      </c>
      <c r="B24" s="2" t="s">
        <v>237</v>
      </c>
      <c r="C24" s="2" t="s">
        <v>238</v>
      </c>
      <c r="D24" s="2" t="s">
        <v>239</v>
      </c>
      <c r="E24" s="2" t="s">
        <v>240</v>
      </c>
      <c r="F24" s="2" t="s">
        <v>241</v>
      </c>
      <c r="G24" s="2" t="s">
        <v>101</v>
      </c>
      <c r="H24" s="2" t="s">
        <v>179</v>
      </c>
      <c r="I24" s="2" t="s">
        <v>64</v>
      </c>
      <c r="J24" s="2" t="s">
        <v>242</v>
      </c>
      <c r="K24" s="2" t="s">
        <v>234</v>
      </c>
      <c r="L24" s="2" t="s">
        <v>78</v>
      </c>
      <c r="M24" s="6" t="n">
        <v>0.044</v>
      </c>
      <c r="N24" s="6" t="n">
        <v>0.46</v>
      </c>
      <c r="O24" s="7" t="n">
        <f aca="false">N24/M24</f>
        <v>10.4545454545455</v>
      </c>
      <c r="P24" s="7" t="n">
        <f aca="false">LN(O24)</f>
        <v>2.34703685556488</v>
      </c>
      <c r="Q24" s="2" t="s">
        <v>244</v>
      </c>
      <c r="R24" s="2" t="s">
        <v>245</v>
      </c>
      <c r="S24" s="2" t="s">
        <v>214</v>
      </c>
      <c r="T24" s="2" t="s">
        <v>60</v>
      </c>
      <c r="U24" s="2" t="s">
        <v>71</v>
      </c>
      <c r="V24" s="2" t="s">
        <v>72</v>
      </c>
      <c r="W24" s="2" t="s">
        <v>73</v>
      </c>
      <c r="X24" s="2" t="s">
        <v>73</v>
      </c>
      <c r="Y24" s="2"/>
      <c r="Z24" s="2"/>
      <c r="AA24" s="2"/>
      <c r="AB24" s="2" t="s">
        <v>79</v>
      </c>
      <c r="AC24" s="2" t="s">
        <v>155</v>
      </c>
      <c r="AD24" s="2" t="s">
        <v>249</v>
      </c>
      <c r="AE24" s="2" t="s">
        <v>247</v>
      </c>
      <c r="AF24" s="2" t="s">
        <v>189</v>
      </c>
    </row>
    <row r="25" customFormat="false" ht="15" hidden="false" customHeight="false" outlineLevel="0" collapsed="false">
      <c r="A25" s="2" t="s">
        <v>250</v>
      </c>
      <c r="B25" s="2" t="s">
        <v>251</v>
      </c>
      <c r="C25" s="2" t="s">
        <v>252</v>
      </c>
      <c r="D25" s="2" t="s">
        <v>253</v>
      </c>
      <c r="E25" s="2" t="s">
        <v>254</v>
      </c>
      <c r="F25" s="2" t="s">
        <v>255</v>
      </c>
      <c r="G25" s="2" t="s">
        <v>62</v>
      </c>
      <c r="H25" s="2" t="s">
        <v>165</v>
      </c>
      <c r="I25" s="2" t="s">
        <v>64</v>
      </c>
      <c r="J25" s="2" t="s">
        <v>256</v>
      </c>
      <c r="K25" s="2" t="s">
        <v>257</v>
      </c>
      <c r="L25" s="2" t="s">
        <v>258</v>
      </c>
      <c r="M25" s="6" t="n">
        <v>0.12</v>
      </c>
      <c r="N25" s="6" t="n">
        <v>0.13</v>
      </c>
      <c r="O25" s="7" t="n">
        <f aca="false">N25/M25</f>
        <v>1.08333333333333</v>
      </c>
      <c r="P25" s="7" t="n">
        <f aca="false">LN(O25)</f>
        <v>0.0800427076735366</v>
      </c>
      <c r="Q25" s="2" t="s">
        <v>212</v>
      </c>
      <c r="R25" s="2" t="s">
        <v>229</v>
      </c>
      <c r="S25" s="2" t="s">
        <v>214</v>
      </c>
      <c r="T25" s="2" t="s">
        <v>60</v>
      </c>
      <c r="U25" s="2" t="s">
        <v>109</v>
      </c>
      <c r="V25" s="2" t="s">
        <v>72</v>
      </c>
      <c r="W25" s="2" t="s">
        <v>73</v>
      </c>
      <c r="X25" s="2" t="s">
        <v>73</v>
      </c>
      <c r="Y25" s="2"/>
      <c r="Z25" s="2"/>
      <c r="AA25" s="2"/>
      <c r="AB25" s="2" t="s">
        <v>259</v>
      </c>
      <c r="AC25" s="2" t="s">
        <v>174</v>
      </c>
      <c r="AD25" s="2" t="s">
        <v>260</v>
      </c>
      <c r="AE25" s="2" t="s">
        <v>261</v>
      </c>
      <c r="AF25" s="2" t="s">
        <v>189</v>
      </c>
    </row>
    <row r="26" customFormat="false" ht="15" hidden="false" customHeight="false" outlineLevel="0" collapsed="false">
      <c r="A26" s="2" t="s">
        <v>262</v>
      </c>
      <c r="B26" s="2" t="s">
        <v>251</v>
      </c>
      <c r="C26" s="2" t="s">
        <v>252</v>
      </c>
      <c r="D26" s="2" t="s">
        <v>253</v>
      </c>
      <c r="E26" s="2" t="s">
        <v>254</v>
      </c>
      <c r="F26" s="2" t="s">
        <v>255</v>
      </c>
      <c r="G26" s="2" t="s">
        <v>62</v>
      </c>
      <c r="H26" s="2" t="s">
        <v>165</v>
      </c>
      <c r="I26" s="2" t="s">
        <v>64</v>
      </c>
      <c r="J26" s="2" t="s">
        <v>256</v>
      </c>
      <c r="K26" s="2" t="s">
        <v>263</v>
      </c>
      <c r="L26" s="2" t="s">
        <v>264</v>
      </c>
      <c r="M26" s="6" t="n">
        <v>0.59</v>
      </c>
      <c r="N26" s="6" t="n">
        <v>0.28</v>
      </c>
      <c r="O26" s="7" t="n">
        <f aca="false">N26/M26</f>
        <v>0.474576271186441</v>
      </c>
      <c r="P26" s="7" t="n">
        <f aca="false">LN(O26)</f>
        <v>-0.745332933730515</v>
      </c>
      <c r="Q26" s="2" t="s">
        <v>212</v>
      </c>
      <c r="R26" s="2" t="s">
        <v>229</v>
      </c>
      <c r="S26" s="2" t="s">
        <v>214</v>
      </c>
      <c r="T26" s="2" t="s">
        <v>60</v>
      </c>
      <c r="U26" s="2" t="s">
        <v>109</v>
      </c>
      <c r="V26" s="2" t="s">
        <v>72</v>
      </c>
      <c r="W26" s="2" t="s">
        <v>73</v>
      </c>
      <c r="X26" s="2" t="s">
        <v>73</v>
      </c>
      <c r="Y26" s="2"/>
      <c r="Z26" s="2"/>
      <c r="AA26" s="2"/>
      <c r="AB26" s="2" t="s">
        <v>259</v>
      </c>
      <c r="AC26" s="2" t="s">
        <v>265</v>
      </c>
      <c r="AD26" s="2" t="s">
        <v>266</v>
      </c>
      <c r="AE26" s="2" t="s">
        <v>261</v>
      </c>
      <c r="AF26" s="2" t="s">
        <v>189</v>
      </c>
    </row>
    <row r="27" customFormat="false" ht="15" hidden="false" customHeight="false" outlineLevel="0" collapsed="false">
      <c r="A27" s="2" t="s">
        <v>267</v>
      </c>
      <c r="B27" s="2" t="s">
        <v>268</v>
      </c>
      <c r="C27" s="2" t="s">
        <v>269</v>
      </c>
      <c r="D27" s="2" t="s">
        <v>270</v>
      </c>
      <c r="E27" s="2" t="s">
        <v>131</v>
      </c>
      <c r="F27" s="2" t="s">
        <v>61</v>
      </c>
      <c r="G27" s="2" t="s">
        <v>62</v>
      </c>
      <c r="H27" s="2" t="s">
        <v>271</v>
      </c>
      <c r="I27" s="2" t="s">
        <v>64</v>
      </c>
      <c r="J27" s="2" t="s">
        <v>122</v>
      </c>
      <c r="K27" s="2" t="s">
        <v>272</v>
      </c>
      <c r="L27" s="2" t="s">
        <v>273</v>
      </c>
      <c r="M27" s="6" t="n">
        <v>188.6</v>
      </c>
      <c r="N27" s="6" t="n">
        <v>190.6</v>
      </c>
      <c r="O27" s="7" t="n">
        <f aca="false">N27/M27</f>
        <v>1.01060445387063</v>
      </c>
      <c r="P27" s="7" t="n">
        <f aca="false">LN(O27)</f>
        <v>0.0105486210207445</v>
      </c>
      <c r="Q27" s="2" t="s">
        <v>124</v>
      </c>
      <c r="R27" s="2" t="s">
        <v>274</v>
      </c>
      <c r="S27" s="2" t="s">
        <v>171</v>
      </c>
      <c r="T27" s="2" t="s">
        <v>60</v>
      </c>
      <c r="U27" s="2" t="s">
        <v>71</v>
      </c>
      <c r="V27" s="2" t="s">
        <v>72</v>
      </c>
      <c r="W27" s="2" t="s">
        <v>73</v>
      </c>
      <c r="X27" s="2" t="s">
        <v>73</v>
      </c>
      <c r="Y27" s="2"/>
      <c r="Z27" s="2"/>
      <c r="AA27" s="2"/>
      <c r="AB27" s="2" t="s">
        <v>193</v>
      </c>
      <c r="AC27" s="2" t="s">
        <v>75</v>
      </c>
      <c r="AD27" s="2"/>
      <c r="AE27" s="2"/>
      <c r="AF27" s="2" t="s">
        <v>275</v>
      </c>
    </row>
    <row r="28" customFormat="false" ht="15" hidden="false" customHeight="false" outlineLevel="0" collapsed="false">
      <c r="A28" s="2" t="s">
        <v>276</v>
      </c>
      <c r="B28" s="2" t="s">
        <v>268</v>
      </c>
      <c r="C28" s="2" t="s">
        <v>269</v>
      </c>
      <c r="D28" s="2" t="s">
        <v>270</v>
      </c>
      <c r="E28" s="2" t="s">
        <v>131</v>
      </c>
      <c r="F28" s="2" t="s">
        <v>61</v>
      </c>
      <c r="G28" s="2" t="s">
        <v>62</v>
      </c>
      <c r="H28" s="2" t="s">
        <v>277</v>
      </c>
      <c r="I28" s="2" t="s">
        <v>64</v>
      </c>
      <c r="J28" s="2" t="s">
        <v>122</v>
      </c>
      <c r="K28" s="2" t="s">
        <v>272</v>
      </c>
      <c r="L28" s="2" t="s">
        <v>273</v>
      </c>
      <c r="M28" s="6" t="n">
        <v>191.9</v>
      </c>
      <c r="N28" s="6" t="n">
        <v>166.1</v>
      </c>
      <c r="O28" s="7" t="n">
        <f aca="false">N28/M28</f>
        <v>0.865554976550287</v>
      </c>
      <c r="P28" s="7" t="n">
        <f aca="false">LN(O28)</f>
        <v>-0.144384386394405</v>
      </c>
      <c r="Q28" s="2" t="s">
        <v>124</v>
      </c>
      <c r="R28" s="2" t="s">
        <v>274</v>
      </c>
      <c r="S28" s="2" t="s">
        <v>171</v>
      </c>
      <c r="T28" s="2" t="s">
        <v>60</v>
      </c>
      <c r="U28" s="2" t="s">
        <v>71</v>
      </c>
      <c r="V28" s="2" t="s">
        <v>72</v>
      </c>
      <c r="W28" s="2" t="s">
        <v>73</v>
      </c>
      <c r="X28" s="2" t="s">
        <v>73</v>
      </c>
      <c r="Y28" s="2"/>
      <c r="Z28" s="2"/>
      <c r="AA28" s="2"/>
      <c r="AB28" s="2" t="s">
        <v>193</v>
      </c>
      <c r="AC28" s="2" t="s">
        <v>75</v>
      </c>
      <c r="AD28" s="2"/>
      <c r="AE28" s="2"/>
      <c r="AF28" s="2" t="s">
        <v>275</v>
      </c>
    </row>
    <row r="29" customFormat="false" ht="15" hidden="false" customHeight="false" outlineLevel="0" collapsed="false">
      <c r="A29" s="2" t="s">
        <v>278</v>
      </c>
      <c r="B29" s="2" t="s">
        <v>279</v>
      </c>
      <c r="C29" s="2" t="s">
        <v>280</v>
      </c>
      <c r="D29" s="2" t="s">
        <v>281</v>
      </c>
      <c r="E29" s="2" t="s">
        <v>148</v>
      </c>
      <c r="F29" s="2" t="s">
        <v>282</v>
      </c>
      <c r="G29" s="2" t="s">
        <v>62</v>
      </c>
      <c r="H29" s="2" t="s">
        <v>186</v>
      </c>
      <c r="I29" s="2" t="s">
        <v>134</v>
      </c>
      <c r="J29" s="2" t="s">
        <v>122</v>
      </c>
      <c r="K29" s="2" t="s">
        <v>283</v>
      </c>
      <c r="L29" s="2" t="s">
        <v>284</v>
      </c>
      <c r="M29" s="6" t="n">
        <v>117</v>
      </c>
      <c r="N29" s="6" t="n">
        <v>83</v>
      </c>
      <c r="O29" s="7" t="n">
        <f aca="false">N29/M29</f>
        <v>0.709401709401709</v>
      </c>
      <c r="P29" s="7" t="n">
        <f aca="false">LN(O29)</f>
        <v>-0.343333327001158</v>
      </c>
      <c r="Q29" s="2" t="s">
        <v>285</v>
      </c>
      <c r="R29" s="2" t="s">
        <v>286</v>
      </c>
      <c r="S29" s="2" t="s">
        <v>214</v>
      </c>
      <c r="T29" s="2" t="s">
        <v>108</v>
      </c>
      <c r="U29" s="2" t="s">
        <v>71</v>
      </c>
      <c r="V29" s="2" t="s">
        <v>72</v>
      </c>
      <c r="W29" s="2" t="s">
        <v>287</v>
      </c>
      <c r="X29" s="2" t="s">
        <v>111</v>
      </c>
      <c r="Y29" s="2" t="s">
        <v>112</v>
      </c>
      <c r="Z29" s="2" t="s">
        <v>82</v>
      </c>
      <c r="AA29" s="2" t="s">
        <v>72</v>
      </c>
      <c r="AB29" s="2" t="s">
        <v>82</v>
      </c>
      <c r="AC29" s="2" t="s">
        <v>75</v>
      </c>
      <c r="AD29" s="2"/>
      <c r="AE29" s="2"/>
      <c r="AF29" s="2" t="s">
        <v>288</v>
      </c>
    </row>
    <row r="30" customFormat="false" ht="15" hidden="false" customHeight="false" outlineLevel="0" collapsed="false">
      <c r="A30" s="2" t="s">
        <v>289</v>
      </c>
      <c r="B30" s="2" t="s">
        <v>279</v>
      </c>
      <c r="C30" s="2" t="s">
        <v>280</v>
      </c>
      <c r="D30" s="2" t="s">
        <v>281</v>
      </c>
      <c r="E30" s="2" t="s">
        <v>148</v>
      </c>
      <c r="F30" s="2" t="s">
        <v>282</v>
      </c>
      <c r="G30" s="2" t="s">
        <v>62</v>
      </c>
      <c r="H30" s="2" t="s">
        <v>186</v>
      </c>
      <c r="I30" s="2" t="s">
        <v>134</v>
      </c>
      <c r="J30" s="2" t="s">
        <v>122</v>
      </c>
      <c r="K30" s="2" t="s">
        <v>283</v>
      </c>
      <c r="L30" s="2" t="s">
        <v>290</v>
      </c>
      <c r="M30" s="6" t="n">
        <v>117</v>
      </c>
      <c r="N30" s="6" t="n">
        <v>335</v>
      </c>
      <c r="O30" s="7" t="n">
        <f aca="false">N30/M30</f>
        <v>2.86324786324786</v>
      </c>
      <c r="P30" s="7" t="n">
        <f aca="false">LN(O30)</f>
        <v>1.05195659702731</v>
      </c>
      <c r="Q30" s="2" t="s">
        <v>285</v>
      </c>
      <c r="R30" s="2" t="s">
        <v>291</v>
      </c>
      <c r="S30" s="2" t="s">
        <v>214</v>
      </c>
      <c r="T30" s="2" t="s">
        <v>108</v>
      </c>
      <c r="U30" s="2" t="s">
        <v>71</v>
      </c>
      <c r="V30" s="2" t="s">
        <v>72</v>
      </c>
      <c r="W30" s="2" t="s">
        <v>287</v>
      </c>
      <c r="X30" s="2" t="s">
        <v>111</v>
      </c>
      <c r="Y30" s="2" t="s">
        <v>112</v>
      </c>
      <c r="Z30" s="2" t="s">
        <v>82</v>
      </c>
      <c r="AA30" s="2" t="s">
        <v>72</v>
      </c>
      <c r="AB30" s="2" t="s">
        <v>74</v>
      </c>
      <c r="AC30" s="2" t="s">
        <v>75</v>
      </c>
      <c r="AD30" s="2"/>
      <c r="AE30" s="2"/>
      <c r="AF30" s="2" t="s">
        <v>288</v>
      </c>
    </row>
    <row r="31" customFormat="false" ht="15" hidden="false" customHeight="false" outlineLevel="0" collapsed="false">
      <c r="A31" s="2" t="s">
        <v>292</v>
      </c>
      <c r="B31" s="2" t="s">
        <v>279</v>
      </c>
      <c r="C31" s="2" t="s">
        <v>280</v>
      </c>
      <c r="D31" s="2" t="s">
        <v>281</v>
      </c>
      <c r="E31" s="2" t="s">
        <v>148</v>
      </c>
      <c r="F31" s="2" t="s">
        <v>282</v>
      </c>
      <c r="G31" s="2" t="s">
        <v>62</v>
      </c>
      <c r="H31" s="2" t="s">
        <v>186</v>
      </c>
      <c r="I31" s="2" t="s">
        <v>134</v>
      </c>
      <c r="J31" s="2" t="s">
        <v>122</v>
      </c>
      <c r="K31" s="2" t="s">
        <v>283</v>
      </c>
      <c r="L31" s="2" t="s">
        <v>293</v>
      </c>
      <c r="M31" s="6" t="n">
        <v>117</v>
      </c>
      <c r="N31" s="6" t="n">
        <v>114</v>
      </c>
      <c r="O31" s="7" t="n">
        <f aca="false">N31/M31</f>
        <v>0.974358974358974</v>
      </c>
      <c r="P31" s="7" t="n">
        <f aca="false">LN(O31)</f>
        <v>-0.0259754864032607</v>
      </c>
      <c r="Q31" s="2" t="s">
        <v>285</v>
      </c>
      <c r="R31" s="2" t="s">
        <v>294</v>
      </c>
      <c r="S31" s="2" t="s">
        <v>214</v>
      </c>
      <c r="T31" s="2" t="s">
        <v>108</v>
      </c>
      <c r="U31" s="2" t="s">
        <v>71</v>
      </c>
      <c r="V31" s="2" t="s">
        <v>72</v>
      </c>
      <c r="W31" s="2" t="s">
        <v>287</v>
      </c>
      <c r="X31" s="2" t="s">
        <v>111</v>
      </c>
      <c r="Y31" s="2" t="s">
        <v>112</v>
      </c>
      <c r="Z31" s="2" t="s">
        <v>82</v>
      </c>
      <c r="AA31" s="2" t="s">
        <v>72</v>
      </c>
      <c r="AB31" s="2" t="s">
        <v>193</v>
      </c>
      <c r="AC31" s="2" t="s">
        <v>75</v>
      </c>
      <c r="AD31" s="2"/>
      <c r="AE31" s="2"/>
      <c r="AF31" s="2" t="s">
        <v>288</v>
      </c>
    </row>
    <row r="32" customFormat="false" ht="15" hidden="false" customHeight="false" outlineLevel="0" collapsed="false">
      <c r="A32" s="2" t="s">
        <v>295</v>
      </c>
      <c r="B32" s="2" t="s">
        <v>279</v>
      </c>
      <c r="C32" s="2" t="s">
        <v>280</v>
      </c>
      <c r="D32" s="2" t="s">
        <v>281</v>
      </c>
      <c r="E32" s="2" t="s">
        <v>148</v>
      </c>
      <c r="F32" s="2" t="s">
        <v>282</v>
      </c>
      <c r="G32" s="2" t="s">
        <v>62</v>
      </c>
      <c r="H32" s="2" t="s">
        <v>296</v>
      </c>
      <c r="I32" s="2" t="s">
        <v>64</v>
      </c>
      <c r="J32" s="2" t="s">
        <v>297</v>
      </c>
      <c r="K32" s="2" t="s">
        <v>298</v>
      </c>
      <c r="L32" s="2" t="s">
        <v>67</v>
      </c>
      <c r="M32" s="6" t="n">
        <v>160</v>
      </c>
      <c r="N32" s="6" t="n">
        <v>548</v>
      </c>
      <c r="O32" s="7" t="n">
        <f aca="false">N32/M32</f>
        <v>3.425</v>
      </c>
      <c r="P32" s="7" t="n">
        <f aca="false">LN(O32)</f>
        <v>1.23110147171419</v>
      </c>
      <c r="Q32" s="2" t="s">
        <v>285</v>
      </c>
      <c r="R32" s="2" t="s">
        <v>291</v>
      </c>
      <c r="S32" s="2" t="s">
        <v>214</v>
      </c>
      <c r="T32" s="2" t="s">
        <v>108</v>
      </c>
      <c r="U32" s="2" t="s">
        <v>71</v>
      </c>
      <c r="V32" s="2" t="s">
        <v>72</v>
      </c>
      <c r="W32" s="2" t="s">
        <v>287</v>
      </c>
      <c r="X32" s="2" t="s">
        <v>111</v>
      </c>
      <c r="Y32" s="2" t="s">
        <v>112</v>
      </c>
      <c r="Z32" s="2" t="s">
        <v>82</v>
      </c>
      <c r="AA32" s="2" t="s">
        <v>72</v>
      </c>
      <c r="AB32" s="2" t="s">
        <v>74</v>
      </c>
      <c r="AC32" s="2" t="s">
        <v>75</v>
      </c>
      <c r="AD32" s="2"/>
      <c r="AE32" s="2"/>
      <c r="AF32" s="2" t="s">
        <v>288</v>
      </c>
    </row>
    <row r="33" customFormat="false" ht="15" hidden="false" customHeight="false" outlineLevel="0" collapsed="false">
      <c r="A33" s="2" t="s">
        <v>299</v>
      </c>
      <c r="B33" s="2" t="s">
        <v>279</v>
      </c>
      <c r="C33" s="2" t="s">
        <v>280</v>
      </c>
      <c r="D33" s="2" t="s">
        <v>281</v>
      </c>
      <c r="E33" s="2" t="s">
        <v>148</v>
      </c>
      <c r="F33" s="2" t="s">
        <v>282</v>
      </c>
      <c r="G33" s="2" t="s">
        <v>62</v>
      </c>
      <c r="H33" s="2" t="s">
        <v>296</v>
      </c>
      <c r="I33" s="2" t="s">
        <v>64</v>
      </c>
      <c r="J33" s="2" t="s">
        <v>297</v>
      </c>
      <c r="K33" s="2" t="s">
        <v>298</v>
      </c>
      <c r="L33" s="2" t="s">
        <v>300</v>
      </c>
      <c r="M33" s="6" t="n">
        <v>160</v>
      </c>
      <c r="N33" s="6" t="n">
        <v>138</v>
      </c>
      <c r="O33" s="7" t="n">
        <f aca="false">N33/M33</f>
        <v>0.8625</v>
      </c>
      <c r="P33" s="7" t="n">
        <f aca="false">LN(O33)</f>
        <v>-0.147920130076622</v>
      </c>
      <c r="Q33" s="2" t="s">
        <v>285</v>
      </c>
      <c r="R33" s="2" t="s">
        <v>294</v>
      </c>
      <c r="S33" s="2" t="s">
        <v>214</v>
      </c>
      <c r="T33" s="2" t="s">
        <v>108</v>
      </c>
      <c r="U33" s="2" t="s">
        <v>71</v>
      </c>
      <c r="V33" s="2" t="s">
        <v>72</v>
      </c>
      <c r="W33" s="2" t="s">
        <v>287</v>
      </c>
      <c r="X33" s="2" t="s">
        <v>111</v>
      </c>
      <c r="Y33" s="2" t="s">
        <v>112</v>
      </c>
      <c r="Z33" s="2" t="s">
        <v>82</v>
      </c>
      <c r="AA33" s="2" t="s">
        <v>72</v>
      </c>
      <c r="AB33" s="2" t="s">
        <v>193</v>
      </c>
      <c r="AC33" s="2" t="s">
        <v>75</v>
      </c>
      <c r="AD33" s="2"/>
      <c r="AE33" s="2"/>
      <c r="AF33" s="2" t="s">
        <v>288</v>
      </c>
    </row>
    <row r="34" customFormat="false" ht="15" hidden="false" customHeight="false" outlineLevel="0" collapsed="false">
      <c r="A34" s="2" t="s">
        <v>301</v>
      </c>
      <c r="B34" s="2" t="s">
        <v>302</v>
      </c>
      <c r="C34" s="2" t="s">
        <v>303</v>
      </c>
      <c r="D34" s="2" t="s">
        <v>304</v>
      </c>
      <c r="E34" s="2" t="s">
        <v>148</v>
      </c>
      <c r="F34" s="2" t="s">
        <v>282</v>
      </c>
      <c r="G34" s="2" t="s">
        <v>62</v>
      </c>
      <c r="H34" s="2" t="s">
        <v>186</v>
      </c>
      <c r="I34" s="2" t="s">
        <v>134</v>
      </c>
      <c r="J34" s="2" t="s">
        <v>122</v>
      </c>
      <c r="K34" s="2" t="s">
        <v>283</v>
      </c>
      <c r="L34" s="2" t="s">
        <v>290</v>
      </c>
      <c r="M34" s="6" t="n">
        <v>163</v>
      </c>
      <c r="N34" s="6" t="n">
        <v>256</v>
      </c>
      <c r="O34" s="7" t="n">
        <f aca="false">N34/M34</f>
        <v>1.57055214723926</v>
      </c>
      <c r="P34" s="7" t="n">
        <f aca="false">LN(O34)</f>
        <v>0.4514272436728</v>
      </c>
      <c r="Q34" s="2" t="s">
        <v>285</v>
      </c>
      <c r="R34" s="2" t="s">
        <v>305</v>
      </c>
      <c r="S34" s="2" t="s">
        <v>214</v>
      </c>
      <c r="T34" s="2" t="s">
        <v>108</v>
      </c>
      <c r="U34" s="2" t="s">
        <v>71</v>
      </c>
      <c r="V34" s="2" t="s">
        <v>72</v>
      </c>
      <c r="W34" s="2" t="s">
        <v>306</v>
      </c>
      <c r="X34" s="2" t="s">
        <v>307</v>
      </c>
      <c r="Y34" s="2"/>
      <c r="Z34" s="2"/>
      <c r="AA34" s="2"/>
      <c r="AB34" s="2" t="s">
        <v>74</v>
      </c>
      <c r="AC34" s="2" t="s">
        <v>75</v>
      </c>
      <c r="AD34" s="2"/>
      <c r="AE34" s="2"/>
      <c r="AF34" s="2" t="s">
        <v>288</v>
      </c>
    </row>
    <row r="35" customFormat="false" ht="15" hidden="false" customHeight="false" outlineLevel="0" collapsed="false">
      <c r="A35" s="2" t="s">
        <v>308</v>
      </c>
      <c r="B35" s="2" t="s">
        <v>309</v>
      </c>
      <c r="C35" s="2" t="s">
        <v>310</v>
      </c>
      <c r="D35" s="2" t="s">
        <v>311</v>
      </c>
      <c r="E35" s="2" t="s">
        <v>148</v>
      </c>
      <c r="F35" s="2" t="s">
        <v>282</v>
      </c>
      <c r="G35" s="2" t="s">
        <v>62</v>
      </c>
      <c r="H35" s="2" t="s">
        <v>186</v>
      </c>
      <c r="I35" s="2" t="s">
        <v>134</v>
      </c>
      <c r="J35" s="2" t="s">
        <v>122</v>
      </c>
      <c r="K35" s="2" t="s">
        <v>284</v>
      </c>
      <c r="L35" s="2" t="s">
        <v>290</v>
      </c>
      <c r="M35" s="6" t="n">
        <v>77</v>
      </c>
      <c r="N35" s="6" t="n">
        <v>448</v>
      </c>
      <c r="O35" s="7" t="n">
        <f aca="false">N35/M35</f>
        <v>5.81818181818182</v>
      </c>
      <c r="P35" s="7" t="n">
        <f aca="false">LN(O35)</f>
        <v>1.7609878105613</v>
      </c>
      <c r="Q35" s="2" t="s">
        <v>285</v>
      </c>
      <c r="R35" s="2" t="s">
        <v>312</v>
      </c>
      <c r="S35" s="2" t="s">
        <v>214</v>
      </c>
      <c r="T35" s="2" t="s">
        <v>108</v>
      </c>
      <c r="U35" s="2" t="s">
        <v>71</v>
      </c>
      <c r="V35" s="2" t="s">
        <v>72</v>
      </c>
      <c r="W35" s="2" t="s">
        <v>306</v>
      </c>
      <c r="X35" s="2" t="s">
        <v>307</v>
      </c>
      <c r="Y35" s="2"/>
      <c r="Z35" s="2"/>
      <c r="AA35" s="2"/>
      <c r="AB35" s="2" t="s">
        <v>313</v>
      </c>
      <c r="AC35" s="2" t="s">
        <v>174</v>
      </c>
      <c r="AD35" s="2" t="s">
        <v>314</v>
      </c>
      <c r="AE35" s="2"/>
      <c r="AF35" s="2" t="s">
        <v>315</v>
      </c>
    </row>
    <row r="36" customFormat="false" ht="15" hidden="false" customHeight="false" outlineLevel="0" collapsed="false">
      <c r="A36" s="2" t="s">
        <v>316</v>
      </c>
      <c r="B36" s="2" t="s">
        <v>317</v>
      </c>
      <c r="C36" s="2" t="s">
        <v>318</v>
      </c>
      <c r="D36" s="2" t="s">
        <v>319</v>
      </c>
      <c r="E36" s="2" t="s">
        <v>320</v>
      </c>
      <c r="F36" s="2" t="s">
        <v>321</v>
      </c>
      <c r="G36" s="2" t="s">
        <v>62</v>
      </c>
      <c r="H36" s="2" t="s">
        <v>179</v>
      </c>
      <c r="I36" s="2" t="s">
        <v>64</v>
      </c>
      <c r="J36" s="2" t="s">
        <v>122</v>
      </c>
      <c r="K36" s="2" t="s">
        <v>283</v>
      </c>
      <c r="L36" s="2" t="s">
        <v>290</v>
      </c>
      <c r="M36" s="6" t="n">
        <v>151</v>
      </c>
      <c r="N36" s="6" t="n">
        <v>176</v>
      </c>
      <c r="O36" s="7" t="n">
        <f aca="false">N36/M36</f>
        <v>1.16556291390728</v>
      </c>
      <c r="P36" s="7" t="n">
        <f aca="false">LN(O36)</f>
        <v>0.153204158223227</v>
      </c>
      <c r="Q36" s="2" t="s">
        <v>285</v>
      </c>
      <c r="R36" s="2" t="s">
        <v>322</v>
      </c>
      <c r="S36" s="2" t="s">
        <v>214</v>
      </c>
      <c r="T36" s="2" t="s">
        <v>108</v>
      </c>
      <c r="U36" s="2" t="s">
        <v>71</v>
      </c>
      <c r="V36" s="2" t="s">
        <v>72</v>
      </c>
      <c r="W36" s="2" t="s">
        <v>73</v>
      </c>
      <c r="X36" s="2" t="s">
        <v>73</v>
      </c>
      <c r="Y36" s="2"/>
      <c r="Z36" s="2"/>
      <c r="AA36" s="2"/>
      <c r="AB36" s="2" t="s">
        <v>74</v>
      </c>
      <c r="AC36" s="2" t="s">
        <v>75</v>
      </c>
      <c r="AD36" s="2"/>
      <c r="AE36" s="2"/>
      <c r="AF36" s="2" t="s">
        <v>288</v>
      </c>
    </row>
    <row r="37" customFormat="false" ht="15" hidden="false" customHeight="false" outlineLevel="0" collapsed="false">
      <c r="A37" s="2" t="s">
        <v>323</v>
      </c>
      <c r="B37" s="2" t="s">
        <v>317</v>
      </c>
      <c r="C37" s="2" t="s">
        <v>318</v>
      </c>
      <c r="D37" s="2" t="s">
        <v>319</v>
      </c>
      <c r="E37" s="2" t="s">
        <v>320</v>
      </c>
      <c r="F37" s="2" t="s">
        <v>321</v>
      </c>
      <c r="G37" s="2" t="s">
        <v>62</v>
      </c>
      <c r="H37" s="2" t="s">
        <v>179</v>
      </c>
      <c r="I37" s="2" t="s">
        <v>64</v>
      </c>
      <c r="J37" s="2" t="s">
        <v>122</v>
      </c>
      <c r="K37" s="2" t="s">
        <v>283</v>
      </c>
      <c r="L37" s="2" t="s">
        <v>284</v>
      </c>
      <c r="M37" s="6" t="n">
        <v>151</v>
      </c>
      <c r="N37" s="6" t="n">
        <v>88</v>
      </c>
      <c r="O37" s="7" t="n">
        <f aca="false">N37/M37</f>
        <v>0.582781456953642</v>
      </c>
      <c r="P37" s="7" t="n">
        <f aca="false">LN(O37)</f>
        <v>-0.539943022336718</v>
      </c>
      <c r="Q37" s="2" t="s">
        <v>285</v>
      </c>
      <c r="R37" s="2" t="s">
        <v>324</v>
      </c>
      <c r="S37" s="2" t="s">
        <v>214</v>
      </c>
      <c r="T37" s="2" t="s">
        <v>108</v>
      </c>
      <c r="U37" s="2" t="s">
        <v>71</v>
      </c>
      <c r="V37" s="2" t="s">
        <v>72</v>
      </c>
      <c r="W37" s="2" t="s">
        <v>73</v>
      </c>
      <c r="X37" s="2" t="s">
        <v>73</v>
      </c>
      <c r="Y37" s="2"/>
      <c r="Z37" s="2"/>
      <c r="AA37" s="2"/>
      <c r="AB37" s="2" t="s">
        <v>82</v>
      </c>
      <c r="AC37" s="2" t="s">
        <v>75</v>
      </c>
      <c r="AD37" s="2"/>
      <c r="AE37" s="2"/>
      <c r="AF37" s="2" t="s">
        <v>288</v>
      </c>
    </row>
    <row r="38" customFormat="false" ht="15" hidden="false" customHeight="false" outlineLevel="0" collapsed="false">
      <c r="A38" s="2" t="s">
        <v>325</v>
      </c>
      <c r="B38" s="2" t="s">
        <v>326</v>
      </c>
      <c r="C38" s="2" t="s">
        <v>327</v>
      </c>
      <c r="D38" s="2" t="s">
        <v>328</v>
      </c>
      <c r="E38" s="2" t="s">
        <v>320</v>
      </c>
      <c r="F38" s="2" t="s">
        <v>61</v>
      </c>
      <c r="G38" s="2" t="s">
        <v>62</v>
      </c>
      <c r="H38" s="2" t="s">
        <v>329</v>
      </c>
      <c r="I38" s="2" t="s">
        <v>134</v>
      </c>
      <c r="J38" s="2" t="s">
        <v>122</v>
      </c>
      <c r="K38" s="2" t="s">
        <v>283</v>
      </c>
      <c r="L38" s="2" t="s">
        <v>284</v>
      </c>
      <c r="M38" s="6" t="n">
        <v>165</v>
      </c>
      <c r="N38" s="6" t="n">
        <v>104</v>
      </c>
      <c r="O38" s="7" t="n">
        <f aca="false">N38/M38</f>
        <v>0.63030303030303</v>
      </c>
      <c r="P38" s="7" t="n">
        <f aca="false">LN(O38)</f>
        <v>-0.461554574759208</v>
      </c>
      <c r="Q38" s="2" t="s">
        <v>285</v>
      </c>
      <c r="R38" s="2" t="s">
        <v>330</v>
      </c>
      <c r="S38" s="2" t="s">
        <v>214</v>
      </c>
      <c r="T38" s="2" t="s">
        <v>108</v>
      </c>
      <c r="U38" s="2" t="s">
        <v>71</v>
      </c>
      <c r="V38" s="2" t="s">
        <v>72</v>
      </c>
      <c r="W38" s="2" t="s">
        <v>331</v>
      </c>
      <c r="X38" s="2" t="s">
        <v>73</v>
      </c>
      <c r="Y38" s="2"/>
      <c r="Z38" s="2"/>
      <c r="AA38" s="2"/>
      <c r="AB38" s="2" t="s">
        <v>82</v>
      </c>
      <c r="AC38" s="2" t="s">
        <v>75</v>
      </c>
      <c r="AD38" s="2"/>
      <c r="AE38" s="2"/>
      <c r="AF38" s="2" t="s">
        <v>288</v>
      </c>
    </row>
    <row r="39" customFormat="false" ht="15" hidden="false" customHeight="false" outlineLevel="0" collapsed="false">
      <c r="A39" s="2" t="s">
        <v>332</v>
      </c>
      <c r="B39" s="2" t="s">
        <v>333</v>
      </c>
      <c r="C39" s="2" t="s">
        <v>334</v>
      </c>
      <c r="D39" s="2" t="s">
        <v>335</v>
      </c>
      <c r="E39" s="2" t="s">
        <v>336</v>
      </c>
      <c r="F39" s="2" t="s">
        <v>337</v>
      </c>
      <c r="G39" s="2" t="s">
        <v>62</v>
      </c>
      <c r="H39" s="2" t="s">
        <v>338</v>
      </c>
      <c r="I39" s="2" t="s">
        <v>64</v>
      </c>
      <c r="J39" s="2" t="s">
        <v>339</v>
      </c>
      <c r="K39" s="2" t="s">
        <v>340</v>
      </c>
      <c r="L39" s="2" t="s">
        <v>341</v>
      </c>
      <c r="M39" s="6" t="n">
        <v>351</v>
      </c>
      <c r="N39" s="6" t="n">
        <v>1173</v>
      </c>
      <c r="O39" s="7" t="n">
        <f aca="false">N39/M39</f>
        <v>3.34188034188034</v>
      </c>
      <c r="P39" s="7" t="n">
        <f aca="false">LN(O39)</f>
        <v>1.20653362518761</v>
      </c>
      <c r="Q39" s="2" t="s">
        <v>285</v>
      </c>
      <c r="R39" s="2" t="s">
        <v>342</v>
      </c>
      <c r="S39" s="2" t="s">
        <v>214</v>
      </c>
      <c r="T39" s="2" t="s">
        <v>108</v>
      </c>
      <c r="U39" s="2" t="s">
        <v>71</v>
      </c>
      <c r="V39" s="2" t="s">
        <v>72</v>
      </c>
      <c r="W39" s="2" t="s">
        <v>343</v>
      </c>
      <c r="X39" s="2" t="s">
        <v>307</v>
      </c>
      <c r="Y39" s="2"/>
      <c r="Z39" s="2"/>
      <c r="AA39" s="2"/>
      <c r="AB39" s="2" t="s">
        <v>74</v>
      </c>
      <c r="AC39" s="2" t="s">
        <v>75</v>
      </c>
      <c r="AD39" s="2"/>
      <c r="AE39" s="2"/>
      <c r="AF39" s="2" t="s">
        <v>288</v>
      </c>
    </row>
    <row r="40" customFormat="false" ht="15" hidden="false" customHeight="false" outlineLevel="0" collapsed="false">
      <c r="A40" s="2" t="s">
        <v>344</v>
      </c>
      <c r="B40" s="2" t="s">
        <v>333</v>
      </c>
      <c r="C40" s="2" t="s">
        <v>334</v>
      </c>
      <c r="D40" s="2" t="s">
        <v>335</v>
      </c>
      <c r="E40" s="2" t="s">
        <v>336</v>
      </c>
      <c r="F40" s="2" t="s">
        <v>337</v>
      </c>
      <c r="G40" s="2" t="s">
        <v>62</v>
      </c>
      <c r="H40" s="2" t="s">
        <v>338</v>
      </c>
      <c r="I40" s="2" t="s">
        <v>64</v>
      </c>
      <c r="J40" s="2" t="s">
        <v>339</v>
      </c>
      <c r="K40" s="2" t="s">
        <v>340</v>
      </c>
      <c r="L40" s="2" t="s">
        <v>345</v>
      </c>
      <c r="M40" s="6" t="n">
        <v>351</v>
      </c>
      <c r="N40" s="6" t="n">
        <v>139</v>
      </c>
      <c r="O40" s="7" t="n">
        <f aca="false">N40/M40</f>
        <v>0.396011396011396</v>
      </c>
      <c r="P40" s="7" t="n">
        <f aca="false">LN(O40)</f>
        <v>-0.926312290335174</v>
      </c>
      <c r="Q40" s="2" t="s">
        <v>285</v>
      </c>
      <c r="R40" s="2" t="s">
        <v>324</v>
      </c>
      <c r="S40" s="2" t="s">
        <v>214</v>
      </c>
      <c r="T40" s="2" t="s">
        <v>108</v>
      </c>
      <c r="U40" s="2" t="s">
        <v>71</v>
      </c>
      <c r="V40" s="2" t="s">
        <v>72</v>
      </c>
      <c r="W40" s="2" t="s">
        <v>343</v>
      </c>
      <c r="X40" s="2" t="s">
        <v>307</v>
      </c>
      <c r="Y40" s="2"/>
      <c r="Z40" s="2"/>
      <c r="AA40" s="2"/>
      <c r="AB40" s="2" t="s">
        <v>82</v>
      </c>
      <c r="AC40" s="2" t="s">
        <v>75</v>
      </c>
      <c r="AD40" s="2"/>
      <c r="AE40" s="2"/>
      <c r="AF40" s="2" t="s">
        <v>288</v>
      </c>
    </row>
    <row r="41" customFormat="false" ht="15" hidden="false" customHeight="false" outlineLevel="0" collapsed="false">
      <c r="A41" s="2" t="s">
        <v>346</v>
      </c>
      <c r="B41" s="2" t="s">
        <v>347</v>
      </c>
      <c r="C41" s="2" t="s">
        <v>348</v>
      </c>
      <c r="D41" s="2" t="s">
        <v>349</v>
      </c>
      <c r="E41" s="2" t="s">
        <v>320</v>
      </c>
      <c r="F41" s="2" t="s">
        <v>62</v>
      </c>
      <c r="G41" s="2" t="s">
        <v>62</v>
      </c>
      <c r="H41" s="2" t="s">
        <v>350</v>
      </c>
      <c r="I41" s="2" t="s">
        <v>64</v>
      </c>
      <c r="J41" s="2" t="s">
        <v>122</v>
      </c>
      <c r="K41" s="2" t="s">
        <v>283</v>
      </c>
      <c r="L41" s="2" t="s">
        <v>284</v>
      </c>
      <c r="M41" s="6" t="n">
        <v>156</v>
      </c>
      <c r="N41" s="6" t="n">
        <v>128</v>
      </c>
      <c r="O41" s="7" t="n">
        <f aca="false">N41/M41</f>
        <v>0.820512820512821</v>
      </c>
      <c r="P41" s="7" t="n">
        <f aca="false">LN(O41)</f>
        <v>-0.19782574332992</v>
      </c>
      <c r="Q41" s="2" t="s">
        <v>285</v>
      </c>
      <c r="R41" s="2" t="s">
        <v>351</v>
      </c>
      <c r="S41" s="2" t="s">
        <v>214</v>
      </c>
      <c r="T41" s="2" t="s">
        <v>108</v>
      </c>
      <c r="U41" s="2" t="s">
        <v>71</v>
      </c>
      <c r="V41" s="2" t="s">
        <v>72</v>
      </c>
      <c r="W41" s="2" t="s">
        <v>352</v>
      </c>
      <c r="X41" s="2" t="s">
        <v>111</v>
      </c>
      <c r="Y41" s="2" t="s">
        <v>82</v>
      </c>
      <c r="Z41" s="2" t="s">
        <v>82</v>
      </c>
      <c r="AA41" s="2" t="s">
        <v>113</v>
      </c>
      <c r="AB41" s="2" t="s">
        <v>82</v>
      </c>
      <c r="AC41" s="2" t="s">
        <v>75</v>
      </c>
      <c r="AD41" s="2"/>
      <c r="AE41" s="2" t="s">
        <v>353</v>
      </c>
      <c r="AF41" s="2" t="s">
        <v>288</v>
      </c>
    </row>
    <row r="42" customFormat="false" ht="15" hidden="false" customHeight="false" outlineLevel="0" collapsed="false">
      <c r="A42" s="2" t="s">
        <v>354</v>
      </c>
      <c r="B42" s="2" t="s">
        <v>347</v>
      </c>
      <c r="C42" s="2" t="s">
        <v>348</v>
      </c>
      <c r="D42" s="2" t="s">
        <v>355</v>
      </c>
      <c r="E42" s="2" t="s">
        <v>320</v>
      </c>
      <c r="F42" s="2" t="s">
        <v>62</v>
      </c>
      <c r="G42" s="2" t="s">
        <v>62</v>
      </c>
      <c r="H42" s="2" t="s">
        <v>356</v>
      </c>
      <c r="I42" s="2" t="s">
        <v>64</v>
      </c>
      <c r="J42" s="2" t="s">
        <v>122</v>
      </c>
      <c r="K42" s="2" t="s">
        <v>283</v>
      </c>
      <c r="L42" s="2" t="s">
        <v>284</v>
      </c>
      <c r="M42" s="6" t="n">
        <v>154</v>
      </c>
      <c r="N42" s="6" t="n">
        <v>96</v>
      </c>
      <c r="O42" s="7" t="n">
        <f aca="false">N42/M42</f>
        <v>0.623376623376623</v>
      </c>
      <c r="P42" s="7" t="n">
        <f aca="false">LN(O42)</f>
        <v>-0.472604410945793</v>
      </c>
      <c r="Q42" s="2" t="s">
        <v>285</v>
      </c>
      <c r="R42" s="2" t="s">
        <v>357</v>
      </c>
      <c r="S42" s="2" t="s">
        <v>214</v>
      </c>
      <c r="T42" s="2" t="s">
        <v>108</v>
      </c>
      <c r="U42" s="2" t="s">
        <v>71</v>
      </c>
      <c r="V42" s="2" t="s">
        <v>72</v>
      </c>
      <c r="W42" s="2" t="s">
        <v>352</v>
      </c>
      <c r="X42" s="2" t="s">
        <v>111</v>
      </c>
      <c r="Y42" s="2" t="s">
        <v>82</v>
      </c>
      <c r="Z42" s="2" t="s">
        <v>82</v>
      </c>
      <c r="AA42" s="2" t="s">
        <v>113</v>
      </c>
      <c r="AB42" s="2" t="s">
        <v>82</v>
      </c>
      <c r="AC42" s="2" t="s">
        <v>75</v>
      </c>
      <c r="AD42" s="2"/>
      <c r="AE42" s="2" t="s">
        <v>353</v>
      </c>
      <c r="AF42" s="2" t="s">
        <v>288</v>
      </c>
    </row>
    <row r="43" customFormat="false" ht="15" hidden="false" customHeight="false" outlineLevel="0" collapsed="false">
      <c r="A43" s="2" t="s">
        <v>358</v>
      </c>
      <c r="B43" s="2" t="s">
        <v>359</v>
      </c>
      <c r="C43" s="2" t="s">
        <v>360</v>
      </c>
      <c r="D43" s="2" t="s">
        <v>361</v>
      </c>
      <c r="E43" s="2" t="s">
        <v>362</v>
      </c>
      <c r="F43" s="2" t="s">
        <v>363</v>
      </c>
      <c r="G43" s="2" t="s">
        <v>101</v>
      </c>
      <c r="H43" s="2" t="s">
        <v>364</v>
      </c>
      <c r="I43" s="2" t="s">
        <v>365</v>
      </c>
      <c r="J43" s="2" t="s">
        <v>366</v>
      </c>
      <c r="K43" s="2" t="s">
        <v>367</v>
      </c>
      <c r="L43" s="2" t="s">
        <v>368</v>
      </c>
      <c r="M43" s="6" t="n">
        <v>143</v>
      </c>
      <c r="N43" s="6" t="n">
        <v>245</v>
      </c>
      <c r="O43" s="7" t="n">
        <f aca="false">N43/M43</f>
        <v>1.71328671328671</v>
      </c>
      <c r="P43" s="7" t="n">
        <f aca="false">LN(O43)</f>
        <v>0.53841358028482</v>
      </c>
      <c r="Q43" s="2" t="s">
        <v>369</v>
      </c>
      <c r="R43" s="2" t="s">
        <v>370</v>
      </c>
      <c r="S43" s="2" t="s">
        <v>171</v>
      </c>
      <c r="T43" s="2" t="s">
        <v>108</v>
      </c>
      <c r="U43" s="2" t="s">
        <v>371</v>
      </c>
      <c r="V43" s="2" t="s">
        <v>113</v>
      </c>
      <c r="W43" s="2" t="s">
        <v>372</v>
      </c>
      <c r="X43" s="2" t="s">
        <v>307</v>
      </c>
      <c r="Y43" s="2"/>
      <c r="Z43" s="2"/>
      <c r="AA43" s="2"/>
      <c r="AB43" s="2" t="s">
        <v>373</v>
      </c>
      <c r="AC43" s="2" t="s">
        <v>75</v>
      </c>
      <c r="AD43" s="2"/>
      <c r="AE43" s="2" t="s">
        <v>374</v>
      </c>
      <c r="AF43" s="2" t="s">
        <v>375</v>
      </c>
    </row>
    <row r="44" customFormat="false" ht="15" hidden="false" customHeight="false" outlineLevel="0" collapsed="false">
      <c r="A44" s="2" t="s">
        <v>376</v>
      </c>
      <c r="B44" s="2" t="s">
        <v>359</v>
      </c>
      <c r="C44" s="2" t="s">
        <v>360</v>
      </c>
      <c r="D44" s="2" t="s">
        <v>361</v>
      </c>
      <c r="E44" s="2" t="s">
        <v>362</v>
      </c>
      <c r="F44" s="2" t="s">
        <v>363</v>
      </c>
      <c r="G44" s="2" t="s">
        <v>101</v>
      </c>
      <c r="H44" s="2" t="s">
        <v>364</v>
      </c>
      <c r="I44" s="2" t="s">
        <v>365</v>
      </c>
      <c r="J44" s="2" t="s">
        <v>366</v>
      </c>
      <c r="K44" s="2" t="s">
        <v>367</v>
      </c>
      <c r="L44" s="2" t="s">
        <v>377</v>
      </c>
      <c r="M44" s="6" t="n">
        <v>143</v>
      </c>
      <c r="N44" s="6" t="n">
        <v>483</v>
      </c>
      <c r="O44" s="7" t="n">
        <f aca="false">N44/M44</f>
        <v>3.37762237762238</v>
      </c>
      <c r="P44" s="7" t="n">
        <f aca="false">LN(O44)</f>
        <v>1.21717202339267</v>
      </c>
      <c r="Q44" s="2" t="s">
        <v>369</v>
      </c>
      <c r="R44" s="2" t="s">
        <v>378</v>
      </c>
      <c r="S44" s="2" t="s">
        <v>171</v>
      </c>
      <c r="T44" s="2" t="s">
        <v>108</v>
      </c>
      <c r="U44" s="2" t="s">
        <v>371</v>
      </c>
      <c r="V44" s="2" t="s">
        <v>113</v>
      </c>
      <c r="W44" s="2" t="s">
        <v>372</v>
      </c>
      <c r="X44" s="2" t="s">
        <v>307</v>
      </c>
      <c r="Y44" s="2"/>
      <c r="Z44" s="2"/>
      <c r="AA44" s="2"/>
      <c r="AB44" s="2" t="s">
        <v>379</v>
      </c>
      <c r="AC44" s="2" t="s">
        <v>174</v>
      </c>
      <c r="AD44" s="2" t="s">
        <v>380</v>
      </c>
      <c r="AE44" s="2"/>
      <c r="AF44" s="2" t="s">
        <v>375</v>
      </c>
    </row>
    <row r="45" customFormat="false" ht="15" hidden="false" customHeight="false" outlineLevel="0" collapsed="false">
      <c r="A45" s="2" t="s">
        <v>381</v>
      </c>
      <c r="B45" s="2" t="s">
        <v>382</v>
      </c>
      <c r="C45" s="2" t="s">
        <v>383</v>
      </c>
      <c r="D45" s="2" t="s">
        <v>384</v>
      </c>
      <c r="E45" s="2" t="s">
        <v>131</v>
      </c>
      <c r="F45" s="2" t="s">
        <v>385</v>
      </c>
      <c r="G45" s="2" t="s">
        <v>62</v>
      </c>
      <c r="H45" s="2" t="s">
        <v>386</v>
      </c>
      <c r="I45" s="2" t="s">
        <v>387</v>
      </c>
      <c r="J45" s="2" t="s">
        <v>388</v>
      </c>
      <c r="K45" s="2" t="s">
        <v>389</v>
      </c>
      <c r="L45" s="2" t="s">
        <v>390</v>
      </c>
      <c r="M45" s="6" t="n">
        <v>6</v>
      </c>
      <c r="N45" s="6" t="n">
        <v>1.8</v>
      </c>
      <c r="O45" s="7" t="n">
        <f aca="false">N45/M45</f>
        <v>0.3</v>
      </c>
      <c r="P45" s="7" t="n">
        <f aca="false">LN(O45)</f>
        <v>-1.20397280432594</v>
      </c>
      <c r="Q45" s="2" t="s">
        <v>391</v>
      </c>
      <c r="R45" s="2" t="s">
        <v>392</v>
      </c>
      <c r="S45" s="2" t="s">
        <v>171</v>
      </c>
      <c r="T45" s="2" t="s">
        <v>108</v>
      </c>
      <c r="U45" s="2" t="s">
        <v>371</v>
      </c>
      <c r="V45" s="2" t="s">
        <v>113</v>
      </c>
      <c r="W45" s="2" t="s">
        <v>73</v>
      </c>
      <c r="X45" s="2" t="s">
        <v>73</v>
      </c>
      <c r="Y45" s="2"/>
      <c r="Z45" s="2"/>
      <c r="AA45" s="2"/>
      <c r="AB45" s="2" t="s">
        <v>259</v>
      </c>
      <c r="AC45" s="2" t="s">
        <v>265</v>
      </c>
      <c r="AD45" s="2" t="s">
        <v>393</v>
      </c>
      <c r="AE45" s="2" t="s">
        <v>394</v>
      </c>
      <c r="AF45" s="2" t="s">
        <v>395</v>
      </c>
    </row>
    <row r="46" customFormat="false" ht="15" hidden="false" customHeight="false" outlineLevel="0" collapsed="false">
      <c r="A46" s="2" t="s">
        <v>396</v>
      </c>
      <c r="B46" s="2" t="s">
        <v>397</v>
      </c>
      <c r="C46" s="2" t="s">
        <v>398</v>
      </c>
      <c r="D46" s="2" t="s">
        <v>399</v>
      </c>
      <c r="E46" s="2" t="s">
        <v>131</v>
      </c>
      <c r="F46" s="2" t="s">
        <v>400</v>
      </c>
      <c r="G46" s="2" t="s">
        <v>101</v>
      </c>
      <c r="H46" s="2" t="s">
        <v>386</v>
      </c>
      <c r="I46" s="2" t="s">
        <v>387</v>
      </c>
      <c r="J46" s="2" t="s">
        <v>401</v>
      </c>
      <c r="K46" s="2" t="s">
        <v>402</v>
      </c>
      <c r="L46" s="2" t="s">
        <v>403</v>
      </c>
      <c r="M46" s="6" t="n">
        <v>2.1</v>
      </c>
      <c r="N46" s="6" t="n">
        <v>2.2</v>
      </c>
      <c r="O46" s="7" t="n">
        <f aca="false">N46/M46</f>
        <v>1.04761904761905</v>
      </c>
      <c r="P46" s="7" t="n">
        <f aca="false">LN(O46)</f>
        <v>0.0465200156348929</v>
      </c>
      <c r="Q46" s="2" t="s">
        <v>404</v>
      </c>
      <c r="R46" s="2" t="s">
        <v>405</v>
      </c>
      <c r="S46" s="2" t="s">
        <v>70</v>
      </c>
      <c r="T46" s="2" t="s">
        <v>108</v>
      </c>
      <c r="U46" s="2" t="s">
        <v>371</v>
      </c>
      <c r="V46" s="2" t="s">
        <v>72</v>
      </c>
      <c r="W46" s="2" t="s">
        <v>306</v>
      </c>
      <c r="X46" s="2" t="s">
        <v>307</v>
      </c>
      <c r="Y46" s="2"/>
      <c r="Z46" s="2"/>
      <c r="AA46" s="2"/>
      <c r="AB46" s="2" t="s">
        <v>373</v>
      </c>
      <c r="AC46" s="2" t="s">
        <v>155</v>
      </c>
      <c r="AD46" s="2" t="s">
        <v>406</v>
      </c>
      <c r="AE46" s="2" t="s">
        <v>407</v>
      </c>
      <c r="AF46" s="2" t="s">
        <v>408</v>
      </c>
    </row>
    <row r="47" customFormat="false" ht="15" hidden="false" customHeight="false" outlineLevel="0" collapsed="false">
      <c r="A47" s="2" t="s">
        <v>409</v>
      </c>
      <c r="B47" s="2" t="s">
        <v>160</v>
      </c>
      <c r="C47" s="2" t="s">
        <v>161</v>
      </c>
      <c r="D47" s="2" t="s">
        <v>162</v>
      </c>
      <c r="E47" s="2" t="s">
        <v>163</v>
      </c>
      <c r="F47" s="2" t="s">
        <v>164</v>
      </c>
      <c r="G47" s="2" t="s">
        <v>101</v>
      </c>
      <c r="H47" s="2" t="s">
        <v>121</v>
      </c>
      <c r="I47" s="2" t="s">
        <v>64</v>
      </c>
      <c r="J47" s="2" t="s">
        <v>166</v>
      </c>
      <c r="K47" s="2" t="s">
        <v>410</v>
      </c>
      <c r="L47" s="2" t="s">
        <v>411</v>
      </c>
      <c r="M47" s="6" t="n">
        <v>139</v>
      </c>
      <c r="N47" s="6" t="n">
        <v>100</v>
      </c>
      <c r="O47" s="7" t="n">
        <f aca="false">N47/M47</f>
        <v>0.719424460431655</v>
      </c>
      <c r="P47" s="7" t="n">
        <f aca="false">LN(O47)</f>
        <v>-0.3293037471426</v>
      </c>
      <c r="Q47" s="2" t="s">
        <v>412</v>
      </c>
      <c r="R47" s="2" t="s">
        <v>413</v>
      </c>
      <c r="S47" s="2" t="s">
        <v>214</v>
      </c>
      <c r="T47" s="2" t="s">
        <v>108</v>
      </c>
      <c r="U47" s="2" t="s">
        <v>71</v>
      </c>
      <c r="V47" s="2" t="s">
        <v>113</v>
      </c>
      <c r="W47" s="2" t="s">
        <v>172</v>
      </c>
      <c r="X47" s="2" t="s">
        <v>111</v>
      </c>
      <c r="Y47" s="2" t="s">
        <v>79</v>
      </c>
      <c r="Z47" s="2" t="s">
        <v>79</v>
      </c>
      <c r="AA47" s="2" t="s">
        <v>113</v>
      </c>
      <c r="AB47" s="2" t="s">
        <v>193</v>
      </c>
      <c r="AC47" s="2" t="s">
        <v>75</v>
      </c>
      <c r="AD47" s="2"/>
      <c r="AE47" s="2" t="s">
        <v>414</v>
      </c>
      <c r="AF47" s="2" t="s">
        <v>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8" t="s">
        <v>416</v>
      </c>
      <c r="B1" s="8" t="s">
        <v>25</v>
      </c>
      <c r="C1" s="8" t="s">
        <v>417</v>
      </c>
      <c r="D1" s="8" t="s">
        <v>418</v>
      </c>
      <c r="E1" s="8" t="s">
        <v>419</v>
      </c>
    </row>
    <row r="2" customFormat="false" ht="15" hidden="false" customHeight="false" outlineLevel="0" collapsed="false">
      <c r="A2" s="2" t="s">
        <v>420</v>
      </c>
      <c r="B2" s="2" t="s">
        <v>57</v>
      </c>
      <c r="C2" s="7" t="n">
        <f aca="false">AVERAGEIFS(S1_Extracted_pairs!$P$2:$P$47,S1_Extracted_pairs!$AC$2:$AC$47,"core",S1_Extracted_pairs!$B$2:$B$47,B2)</f>
        <v>0.783226130328257</v>
      </c>
      <c r="D2" s="2" t="n">
        <f aca="false">COUNTIFS(S1_Extracted_pairs!$AC$2:$AC$47,"core",S1_Extracted_pairs!$B$2:$B$47,B2)</f>
        <v>3</v>
      </c>
      <c r="E2" s="2" t="n">
        <f aca="false">COUNTIFS(S1_Extracted_pairs!$AC$2:$AC$47,"core",S1_Extracted_pairs!$B$2:$B$47,B2,S1_Extracted_pairs!$O$2:$O$47,"&lt;1")</f>
        <v>1</v>
      </c>
    </row>
    <row r="3" customFormat="false" ht="15" hidden="false" customHeight="false" outlineLevel="0" collapsed="false">
      <c r="A3" s="2" t="s">
        <v>420</v>
      </c>
      <c r="B3" s="2" t="s">
        <v>84</v>
      </c>
      <c r="C3" s="7" t="n">
        <f aca="false">AVERAGEIFS(S1_Extracted_pairs!$P$2:$P$47,S1_Extracted_pairs!$AC$2:$AC$47,"core",S1_Extracted_pairs!$B$2:$B$47,B3)</f>
        <v>0.567038180237828</v>
      </c>
      <c r="D3" s="2" t="n">
        <f aca="false">COUNTIFS(S1_Extracted_pairs!$AC$2:$AC$47,"core",S1_Extracted_pairs!$B$2:$B$47,B3)</f>
        <v>1</v>
      </c>
      <c r="E3" s="2" t="n">
        <f aca="false">COUNTIFS(S1_Extracted_pairs!$AC$2:$AC$47,"core",S1_Extracted_pairs!$B$2:$B$47,B3,S1_Extracted_pairs!$O$2:$O$47,"&lt;1")</f>
        <v>0</v>
      </c>
    </row>
    <row r="4" customFormat="false" ht="15" hidden="false" customHeight="false" outlineLevel="0" collapsed="false">
      <c r="A4" s="2" t="s">
        <v>420</v>
      </c>
      <c r="B4" s="2" t="s">
        <v>97</v>
      </c>
      <c r="C4" s="7" t="n">
        <f aca="false">AVERAGEIFS(S1_Extracted_pairs!$P$2:$P$47,S1_Extracted_pairs!$AC$2:$AC$47,"core",S1_Extracted_pairs!$B$2:$B$47,B4)</f>
        <v>1.34707364796661</v>
      </c>
      <c r="D4" s="2" t="n">
        <f aca="false">COUNTIFS(S1_Extracted_pairs!$AC$2:$AC$47,"core",S1_Extracted_pairs!$B$2:$B$47,B4)</f>
        <v>1</v>
      </c>
      <c r="E4" s="2" t="n">
        <f aca="false">COUNTIFS(S1_Extracted_pairs!$AC$2:$AC$47,"core",S1_Extracted_pairs!$B$2:$B$47,B4,S1_Extracted_pairs!$O$2:$O$47,"&lt;1")</f>
        <v>0</v>
      </c>
    </row>
    <row r="5" customFormat="false" ht="15" hidden="false" customHeight="false" outlineLevel="0" collapsed="false">
      <c r="A5" s="2" t="s">
        <v>420</v>
      </c>
      <c r="B5" s="2" t="s">
        <v>117</v>
      </c>
      <c r="C5" s="7" t="n">
        <f aca="false">AVERAGEIFS(S1_Extracted_pairs!$P$2:$P$47,S1_Extracted_pairs!$AC$2:$AC$47,"core",S1_Extracted_pairs!$B$2:$B$47,B5)</f>
        <v>1.6522520332269</v>
      </c>
      <c r="D5" s="2" t="n">
        <f aca="false">COUNTIFS(S1_Extracted_pairs!$AC$2:$AC$47,"core",S1_Extracted_pairs!$B$2:$B$47,B5)</f>
        <v>1</v>
      </c>
      <c r="E5" s="2" t="n">
        <f aca="false">COUNTIFS(S1_Extracted_pairs!$AC$2:$AC$47,"core",S1_Extracted_pairs!$B$2:$B$47,B5,S1_Extracted_pairs!$O$2:$O$47,"&lt;1")</f>
        <v>0</v>
      </c>
    </row>
    <row r="6" customFormat="false" ht="15" hidden="false" customHeight="false" outlineLevel="0" collapsed="false">
      <c r="A6" s="2" t="s">
        <v>420</v>
      </c>
      <c r="B6" s="2" t="s">
        <v>128</v>
      </c>
      <c r="C6" s="7" t="n">
        <f aca="false">AVERAGEIFS(S1_Extracted_pairs!$P$2:$P$47,S1_Extracted_pairs!$AC$2:$AC$47,"core",S1_Extracted_pairs!$B$2:$B$47,B6)</f>
        <v>-0.50657619851371</v>
      </c>
      <c r="D6" s="2" t="n">
        <f aca="false">COUNTIFS(S1_Extracted_pairs!$AC$2:$AC$47,"core",S1_Extracted_pairs!$B$2:$B$47,B6)</f>
        <v>2</v>
      </c>
      <c r="E6" s="2" t="n">
        <f aca="false">COUNTIFS(S1_Extracted_pairs!$AC$2:$AC$47,"core",S1_Extracted_pairs!$B$2:$B$47,B6,S1_Extracted_pairs!$O$2:$O$47,"&lt;1")</f>
        <v>2</v>
      </c>
    </row>
    <row r="7" customFormat="false" ht="15" hidden="false" customHeight="false" outlineLevel="0" collapsed="false">
      <c r="A7" s="2" t="s">
        <v>420</v>
      </c>
      <c r="B7" s="2" t="s">
        <v>183</v>
      </c>
      <c r="C7" s="7" t="n">
        <f aca="false">AVERAGEIFS(S1_Extracted_pairs!$P$2:$P$47,S1_Extracted_pairs!$AC$2:$AC$47,"core",S1_Extracted_pairs!$B$2:$B$47,B7)</f>
        <v>0.474914970481262</v>
      </c>
      <c r="D7" s="2" t="n">
        <f aca="false">COUNTIFS(S1_Extracted_pairs!$AC$2:$AC$47,"core",S1_Extracted_pairs!$B$2:$B$47,B7)</f>
        <v>2</v>
      </c>
      <c r="E7" s="2" t="n">
        <f aca="false">COUNTIFS(S1_Extracted_pairs!$AC$2:$AC$47,"core",S1_Extracted_pairs!$B$2:$B$47,B7,S1_Extracted_pairs!$O$2:$O$47,"&lt;1")</f>
        <v>0</v>
      </c>
    </row>
    <row r="8" customFormat="false" ht="15" hidden="false" customHeight="false" outlineLevel="0" collapsed="false">
      <c r="A8" s="2" t="s">
        <v>420</v>
      </c>
      <c r="B8" s="2" t="s">
        <v>223</v>
      </c>
      <c r="C8" s="7" t="n">
        <f aca="false">AVERAGEIFS(S1_Extracted_pairs!$P$2:$P$47,S1_Extracted_pairs!$AC$2:$AC$47,"core",S1_Extracted_pairs!$B$2:$B$47,B8)</f>
        <v>0.682259427861963</v>
      </c>
      <c r="D8" s="2" t="n">
        <f aca="false">COUNTIFS(S1_Extracted_pairs!$AC$2:$AC$47,"core",S1_Extracted_pairs!$B$2:$B$47,B8)</f>
        <v>4</v>
      </c>
      <c r="E8" s="2" t="n">
        <f aca="false">COUNTIFS(S1_Extracted_pairs!$AC$2:$AC$47,"core",S1_Extracted_pairs!$B$2:$B$47,B8,S1_Extracted_pairs!$O$2:$O$47,"&lt;1")</f>
        <v>0</v>
      </c>
    </row>
    <row r="9" customFormat="false" ht="15" hidden="false" customHeight="false" outlineLevel="0" collapsed="false">
      <c r="A9" s="2" t="s">
        <v>420</v>
      </c>
      <c r="B9" s="2" t="s">
        <v>268</v>
      </c>
      <c r="C9" s="7" t="n">
        <f aca="false">AVERAGEIFS(S1_Extracted_pairs!$P$2:$P$47,S1_Extracted_pairs!$AC$2:$AC$47,"core",S1_Extracted_pairs!$B$2:$B$47,B9)</f>
        <v>-0.0669178826868303</v>
      </c>
      <c r="D9" s="2" t="n">
        <f aca="false">COUNTIFS(S1_Extracted_pairs!$AC$2:$AC$47,"core",S1_Extracted_pairs!$B$2:$B$47,B9)</f>
        <v>2</v>
      </c>
      <c r="E9" s="2" t="n">
        <f aca="false">COUNTIFS(S1_Extracted_pairs!$AC$2:$AC$47,"core",S1_Extracted_pairs!$B$2:$B$47,B9,S1_Extracted_pairs!$O$2:$O$47,"&lt;1")</f>
        <v>1</v>
      </c>
    </row>
    <row r="10" customFormat="false" ht="15" hidden="false" customHeight="false" outlineLevel="0" collapsed="false">
      <c r="A10" s="2" t="s">
        <v>420</v>
      </c>
      <c r="B10" s="2" t="s">
        <v>279</v>
      </c>
      <c r="C10" s="7" t="n">
        <f aca="false">AVERAGEIFS(S1_Extracted_pairs!$P$2:$P$47,S1_Extracted_pairs!$AC$2:$AC$47,"core",S1_Extracted_pairs!$B$2:$B$47,B10)</f>
        <v>0.353165825052092</v>
      </c>
      <c r="D10" s="2" t="n">
        <f aca="false">COUNTIFS(S1_Extracted_pairs!$AC$2:$AC$47,"core",S1_Extracted_pairs!$B$2:$B$47,B10)</f>
        <v>5</v>
      </c>
      <c r="E10" s="2" t="n">
        <f aca="false">COUNTIFS(S1_Extracted_pairs!$AC$2:$AC$47,"core",S1_Extracted_pairs!$B$2:$B$47,B10,S1_Extracted_pairs!$O$2:$O$47,"&lt;1")</f>
        <v>3</v>
      </c>
    </row>
    <row r="11" customFormat="false" ht="15" hidden="false" customHeight="false" outlineLevel="0" collapsed="false">
      <c r="A11" s="2" t="s">
        <v>420</v>
      </c>
      <c r="B11" s="2" t="s">
        <v>302</v>
      </c>
      <c r="C11" s="7" t="n">
        <f aca="false">AVERAGEIFS(S1_Extracted_pairs!$P$2:$P$47,S1_Extracted_pairs!$AC$2:$AC$47,"core",S1_Extracted_pairs!$B$2:$B$47,B11)</f>
        <v>0.4514272436728</v>
      </c>
      <c r="D11" s="2" t="n">
        <f aca="false">COUNTIFS(S1_Extracted_pairs!$AC$2:$AC$47,"core",S1_Extracted_pairs!$B$2:$B$47,B11)</f>
        <v>1</v>
      </c>
      <c r="E11" s="2" t="n">
        <f aca="false">COUNTIFS(S1_Extracted_pairs!$AC$2:$AC$47,"core",S1_Extracted_pairs!$B$2:$B$47,B11,S1_Extracted_pairs!$O$2:$O$47,"&lt;1")</f>
        <v>0</v>
      </c>
    </row>
    <row r="12" customFormat="false" ht="15" hidden="false" customHeight="false" outlineLevel="0" collapsed="false">
      <c r="A12" s="2" t="s">
        <v>420</v>
      </c>
      <c r="B12" s="2" t="s">
        <v>317</v>
      </c>
      <c r="C12" s="7" t="n">
        <f aca="false">AVERAGEIFS(S1_Extracted_pairs!$P$2:$P$47,S1_Extracted_pairs!$AC$2:$AC$47,"core",S1_Extracted_pairs!$B$2:$B$47,B12)</f>
        <v>-0.193369432056745</v>
      </c>
      <c r="D12" s="2" t="n">
        <f aca="false">COUNTIFS(S1_Extracted_pairs!$AC$2:$AC$47,"core",S1_Extracted_pairs!$B$2:$B$47,B12)</f>
        <v>2</v>
      </c>
      <c r="E12" s="2" t="n">
        <f aca="false">COUNTIFS(S1_Extracted_pairs!$AC$2:$AC$47,"core",S1_Extracted_pairs!$B$2:$B$47,B12,S1_Extracted_pairs!$O$2:$O$47,"&lt;1")</f>
        <v>1</v>
      </c>
    </row>
    <row r="13" customFormat="false" ht="15" hidden="false" customHeight="false" outlineLevel="0" collapsed="false">
      <c r="A13" s="2" t="s">
        <v>420</v>
      </c>
      <c r="B13" s="2" t="s">
        <v>326</v>
      </c>
      <c r="C13" s="7" t="n">
        <f aca="false">AVERAGEIFS(S1_Extracted_pairs!$P$2:$P$47,S1_Extracted_pairs!$AC$2:$AC$47,"core",S1_Extracted_pairs!$B$2:$B$47,B13)</f>
        <v>-0.461554574759208</v>
      </c>
      <c r="D13" s="2" t="n">
        <f aca="false">COUNTIFS(S1_Extracted_pairs!$AC$2:$AC$47,"core",S1_Extracted_pairs!$B$2:$B$47,B13)</f>
        <v>1</v>
      </c>
      <c r="E13" s="2" t="n">
        <f aca="false">COUNTIFS(S1_Extracted_pairs!$AC$2:$AC$47,"core",S1_Extracted_pairs!$B$2:$B$47,B13,S1_Extracted_pairs!$O$2:$O$47,"&lt;1")</f>
        <v>1</v>
      </c>
    </row>
    <row r="14" customFormat="false" ht="15" hidden="false" customHeight="false" outlineLevel="0" collapsed="false">
      <c r="A14" s="2" t="s">
        <v>420</v>
      </c>
      <c r="B14" s="2" t="s">
        <v>333</v>
      </c>
      <c r="C14" s="7" t="n">
        <f aca="false">AVERAGEIFS(S1_Extracted_pairs!$P$2:$P$47,S1_Extracted_pairs!$AC$2:$AC$47,"core",S1_Extracted_pairs!$B$2:$B$47,B14)</f>
        <v>0.140110667426218</v>
      </c>
      <c r="D14" s="2" t="n">
        <f aca="false">COUNTIFS(S1_Extracted_pairs!$AC$2:$AC$47,"core",S1_Extracted_pairs!$B$2:$B$47,B14)</f>
        <v>2</v>
      </c>
      <c r="E14" s="2" t="n">
        <f aca="false">COUNTIFS(S1_Extracted_pairs!$AC$2:$AC$47,"core",S1_Extracted_pairs!$B$2:$B$47,B14,S1_Extracted_pairs!$O$2:$O$47,"&lt;1")</f>
        <v>1</v>
      </c>
    </row>
    <row r="15" customFormat="false" ht="15" hidden="false" customHeight="false" outlineLevel="0" collapsed="false">
      <c r="A15" s="2" t="s">
        <v>420</v>
      </c>
      <c r="B15" s="2" t="s">
        <v>347</v>
      </c>
      <c r="C15" s="7" t="n">
        <f aca="false">AVERAGEIFS(S1_Extracted_pairs!$P$2:$P$47,S1_Extracted_pairs!$AC$2:$AC$47,"core",S1_Extracted_pairs!$B$2:$B$47,B15)</f>
        <v>-0.335215077137856</v>
      </c>
      <c r="D15" s="2" t="n">
        <f aca="false">COUNTIFS(S1_Extracted_pairs!$AC$2:$AC$47,"core",S1_Extracted_pairs!$B$2:$B$47,B15)</f>
        <v>2</v>
      </c>
      <c r="E15" s="2" t="n">
        <f aca="false">COUNTIFS(S1_Extracted_pairs!$AC$2:$AC$47,"core",S1_Extracted_pairs!$B$2:$B$47,B15,S1_Extracted_pairs!$O$2:$O$47,"&lt;1")</f>
        <v>2</v>
      </c>
    </row>
    <row r="16" customFormat="false" ht="15" hidden="false" customHeight="false" outlineLevel="0" collapsed="false">
      <c r="A16" s="2" t="s">
        <v>420</v>
      </c>
      <c r="B16" s="2" t="s">
        <v>359</v>
      </c>
      <c r="C16" s="7" t="n">
        <f aca="false">AVERAGEIFS(S1_Extracted_pairs!$P$2:$P$47,S1_Extracted_pairs!$AC$2:$AC$47,"core",S1_Extracted_pairs!$B$2:$B$47,B16)</f>
        <v>0.53841358028482</v>
      </c>
      <c r="D16" s="2" t="n">
        <f aca="false">COUNTIFS(S1_Extracted_pairs!$AC$2:$AC$47,"core",S1_Extracted_pairs!$B$2:$B$47,B16)</f>
        <v>1</v>
      </c>
      <c r="E16" s="2" t="n">
        <f aca="false">COUNTIFS(S1_Extracted_pairs!$AC$2:$AC$47,"core",S1_Extracted_pairs!$B$2:$B$47,B16,S1_Extracted_pairs!$O$2:$O$47,"&lt;1")</f>
        <v>0</v>
      </c>
    </row>
    <row r="17" customFormat="false" ht="15" hidden="false" customHeight="false" outlineLevel="0" collapsed="false">
      <c r="A17" s="2" t="s">
        <v>420</v>
      </c>
      <c r="B17" s="2" t="s">
        <v>160</v>
      </c>
      <c r="C17" s="7" t="n">
        <f aca="false">AVERAGEIFS(S1_Extracted_pairs!$P$2:$P$47,S1_Extracted_pairs!$AC$2:$AC$47,"core",S1_Extracted_pairs!$B$2:$B$47,B17)</f>
        <v>-0.3293037471426</v>
      </c>
      <c r="D17" s="2" t="n">
        <f aca="false">COUNTIFS(S1_Extracted_pairs!$AC$2:$AC$47,"core",S1_Extracted_pairs!$B$2:$B$47,B17)</f>
        <v>1</v>
      </c>
      <c r="E17" s="2" t="n">
        <f aca="false">COUNTIFS(S1_Extracted_pairs!$AC$2:$AC$47,"core",S1_Extracted_pairs!$B$2:$B$47,B17,S1_Extracted_pairs!$O$2:$O$47,"&lt;1")</f>
        <v>1</v>
      </c>
    </row>
    <row r="18" customFormat="false" ht="15" hidden="false" customHeight="false" outlineLevel="0" collapsed="false">
      <c r="A18" s="2" t="s">
        <v>421</v>
      </c>
      <c r="B18" s="2" t="s">
        <v>57</v>
      </c>
      <c r="C18" s="7" t="n">
        <f aca="false">AVERAGEIFS(S1_Extracted_pairs!$P$2:$P$47,S1_Extracted_pairs!$AC$2:$AC$47,"core",S1_Extracted_pairs!$B$2:$B$47,B18,S1_Extracted_pairs!$AB$2:$AB$47,"Glass")</f>
        <v>1.55013817015281</v>
      </c>
      <c r="D18" s="2" t="n">
        <f aca="false">COUNTIFS(S1_Extracted_pairs!$AC$2:$AC$47,"core",S1_Extracted_pairs!$B$2:$B$47,B18,S1_Extracted_pairs!$AB$2:$AB$47,"Glass")</f>
        <v>1</v>
      </c>
      <c r="E18" s="2" t="n">
        <f aca="false">COUNTIFS(S1_Extracted_pairs!$AC$2:$AC$47,"core",S1_Extracted_pairs!$B$2:$B$47,B18,S1_Extracted_pairs!$AB$2:$AB$47,"Glass",S1_Extracted_pairs!$O$2:$O$47,"&lt;1")</f>
        <v>0</v>
      </c>
    </row>
    <row r="19" customFormat="false" ht="15" hidden="false" customHeight="false" outlineLevel="0" collapsed="false">
      <c r="A19" s="2" t="s">
        <v>421</v>
      </c>
      <c r="B19" s="2" t="s">
        <v>84</v>
      </c>
      <c r="C19" s="7" t="n">
        <f aca="false">AVERAGEIFS(S1_Extracted_pairs!$P$2:$P$47,S1_Extracted_pairs!$AC$2:$AC$47,"core",S1_Extracted_pairs!$B$2:$B$47,B19,S1_Extracted_pairs!$AB$2:$AB$47,"Glass")</f>
        <v>0.567038180237828</v>
      </c>
      <c r="D19" s="2" t="n">
        <f aca="false">COUNTIFS(S1_Extracted_pairs!$AC$2:$AC$47,"core",S1_Extracted_pairs!$B$2:$B$47,B19,S1_Extracted_pairs!$AB$2:$AB$47,"Glass")</f>
        <v>1</v>
      </c>
      <c r="E19" s="2" t="n">
        <f aca="false">COUNTIFS(S1_Extracted_pairs!$AC$2:$AC$47,"core",S1_Extracted_pairs!$B$2:$B$47,B19,S1_Extracted_pairs!$AB$2:$AB$47,"Glass",S1_Extracted_pairs!$O$2:$O$47,"&lt;1")</f>
        <v>0</v>
      </c>
    </row>
    <row r="20" customFormat="false" ht="15" hidden="false" customHeight="false" outlineLevel="0" collapsed="false">
      <c r="A20" s="2" t="s">
        <v>421</v>
      </c>
      <c r="B20" s="2" t="s">
        <v>117</v>
      </c>
      <c r="C20" s="7" t="n">
        <f aca="false">AVERAGEIFS(S1_Extracted_pairs!$P$2:$P$47,S1_Extracted_pairs!$AC$2:$AC$47,"core",S1_Extracted_pairs!$B$2:$B$47,B20,S1_Extracted_pairs!$AB$2:$AB$47,"Glass")</f>
        <v>1.6522520332269</v>
      </c>
      <c r="D20" s="2" t="n">
        <f aca="false">COUNTIFS(S1_Extracted_pairs!$AC$2:$AC$47,"core",S1_Extracted_pairs!$B$2:$B$47,B20,S1_Extracted_pairs!$AB$2:$AB$47,"Glass")</f>
        <v>1</v>
      </c>
      <c r="E20" s="2" t="n">
        <f aca="false">COUNTIFS(S1_Extracted_pairs!$AC$2:$AC$47,"core",S1_Extracted_pairs!$B$2:$B$47,B20,S1_Extracted_pairs!$AB$2:$AB$47,"Glass",S1_Extracted_pairs!$O$2:$O$47,"&lt;1")</f>
        <v>0</v>
      </c>
    </row>
    <row r="21" customFormat="false" ht="15" hidden="false" customHeight="false" outlineLevel="0" collapsed="false">
      <c r="A21" s="2" t="s">
        <v>421</v>
      </c>
      <c r="B21" s="2" t="s">
        <v>183</v>
      </c>
      <c r="C21" s="7" t="n">
        <f aca="false">AVERAGEIFS(S1_Extracted_pairs!$P$2:$P$47,S1_Extracted_pairs!$AC$2:$AC$47,"core",S1_Extracted_pairs!$B$2:$B$47,B21,S1_Extracted_pairs!$AB$2:$AB$47,"Glass")</f>
        <v>0.838038534974407</v>
      </c>
      <c r="D21" s="2" t="n">
        <f aca="false">COUNTIFS(S1_Extracted_pairs!$AC$2:$AC$47,"core",S1_Extracted_pairs!$B$2:$B$47,B21,S1_Extracted_pairs!$AB$2:$AB$47,"Glass")</f>
        <v>1</v>
      </c>
      <c r="E21" s="2" t="n">
        <f aca="false">COUNTIFS(S1_Extracted_pairs!$AC$2:$AC$47,"core",S1_Extracted_pairs!$B$2:$B$47,B21,S1_Extracted_pairs!$AB$2:$AB$47,"Glass",S1_Extracted_pairs!$O$2:$O$47,"&lt;1")</f>
        <v>0</v>
      </c>
    </row>
    <row r="22" customFormat="false" ht="15" hidden="false" customHeight="false" outlineLevel="0" collapsed="false">
      <c r="A22" s="2" t="s">
        <v>421</v>
      </c>
      <c r="B22" s="2" t="s">
        <v>223</v>
      </c>
      <c r="C22" s="7" t="n">
        <f aca="false">AVERAGEIFS(S1_Extracted_pairs!$P$2:$P$47,S1_Extracted_pairs!$AC$2:$AC$47,"core",S1_Extracted_pairs!$B$2:$B$47,B22,S1_Extracted_pairs!$AB$2:$AB$47,"Glass")</f>
        <v>0.970241890830439</v>
      </c>
      <c r="D22" s="2" t="n">
        <f aca="false">COUNTIFS(S1_Extracted_pairs!$AC$2:$AC$47,"core",S1_Extracted_pairs!$B$2:$B$47,B22,S1_Extracted_pairs!$AB$2:$AB$47,"Glass")</f>
        <v>2</v>
      </c>
      <c r="E22" s="2" t="n">
        <f aca="false">COUNTIFS(S1_Extracted_pairs!$AC$2:$AC$47,"core",S1_Extracted_pairs!$B$2:$B$47,B22,S1_Extracted_pairs!$AB$2:$AB$47,"Glass",S1_Extracted_pairs!$O$2:$O$47,"&lt;1")</f>
        <v>0</v>
      </c>
    </row>
    <row r="23" customFormat="false" ht="15" hidden="false" customHeight="false" outlineLevel="0" collapsed="false">
      <c r="A23" s="2" t="s">
        <v>421</v>
      </c>
      <c r="B23" s="2" t="s">
        <v>279</v>
      </c>
      <c r="C23" s="7" t="n">
        <f aca="false">AVERAGEIFS(S1_Extracted_pairs!$P$2:$P$47,S1_Extracted_pairs!$AC$2:$AC$47,"core",S1_Extracted_pairs!$B$2:$B$47,B23,S1_Extracted_pairs!$AB$2:$AB$47,"Glass")</f>
        <v>1.14152903437075</v>
      </c>
      <c r="D23" s="2" t="n">
        <f aca="false">COUNTIFS(S1_Extracted_pairs!$AC$2:$AC$47,"core",S1_Extracted_pairs!$B$2:$B$47,B23,S1_Extracted_pairs!$AB$2:$AB$47,"Glass")</f>
        <v>2</v>
      </c>
      <c r="E23" s="2" t="n">
        <f aca="false">COUNTIFS(S1_Extracted_pairs!$AC$2:$AC$47,"core",S1_Extracted_pairs!$B$2:$B$47,B23,S1_Extracted_pairs!$AB$2:$AB$47,"Glass",S1_Extracted_pairs!$O$2:$O$47,"&lt;1")</f>
        <v>0</v>
      </c>
    </row>
    <row r="24" customFormat="false" ht="15" hidden="false" customHeight="false" outlineLevel="0" collapsed="false">
      <c r="A24" s="2" t="s">
        <v>421</v>
      </c>
      <c r="B24" s="2" t="s">
        <v>302</v>
      </c>
      <c r="C24" s="7" t="n">
        <f aca="false">AVERAGEIFS(S1_Extracted_pairs!$P$2:$P$47,S1_Extracted_pairs!$AC$2:$AC$47,"core",S1_Extracted_pairs!$B$2:$B$47,B24,S1_Extracted_pairs!$AB$2:$AB$47,"Glass")</f>
        <v>0.4514272436728</v>
      </c>
      <c r="D24" s="2" t="n">
        <f aca="false">COUNTIFS(S1_Extracted_pairs!$AC$2:$AC$47,"core",S1_Extracted_pairs!$B$2:$B$47,B24,S1_Extracted_pairs!$AB$2:$AB$47,"Glass")</f>
        <v>1</v>
      </c>
      <c r="E24" s="2" t="n">
        <f aca="false">COUNTIFS(S1_Extracted_pairs!$AC$2:$AC$47,"core",S1_Extracted_pairs!$B$2:$B$47,B24,S1_Extracted_pairs!$AB$2:$AB$47,"Glass",S1_Extracted_pairs!$O$2:$O$47,"&lt;1")</f>
        <v>0</v>
      </c>
    </row>
    <row r="25" customFormat="false" ht="15" hidden="false" customHeight="false" outlineLevel="0" collapsed="false">
      <c r="A25" s="2" t="s">
        <v>421</v>
      </c>
      <c r="B25" s="2" t="s">
        <v>317</v>
      </c>
      <c r="C25" s="7" t="n">
        <f aca="false">AVERAGEIFS(S1_Extracted_pairs!$P$2:$P$47,S1_Extracted_pairs!$AC$2:$AC$47,"core",S1_Extracted_pairs!$B$2:$B$47,B25,S1_Extracted_pairs!$AB$2:$AB$47,"Glass")</f>
        <v>0.153204158223227</v>
      </c>
      <c r="D25" s="2" t="n">
        <f aca="false">COUNTIFS(S1_Extracted_pairs!$AC$2:$AC$47,"core",S1_Extracted_pairs!$B$2:$B$47,B25,S1_Extracted_pairs!$AB$2:$AB$47,"Glass")</f>
        <v>1</v>
      </c>
      <c r="E25" s="2" t="n">
        <f aca="false">COUNTIFS(S1_Extracted_pairs!$AC$2:$AC$47,"core",S1_Extracted_pairs!$B$2:$B$47,B25,S1_Extracted_pairs!$AB$2:$AB$47,"Glass",S1_Extracted_pairs!$O$2:$O$47,"&lt;1")</f>
        <v>0</v>
      </c>
    </row>
    <row r="26" customFormat="false" ht="15" hidden="false" customHeight="false" outlineLevel="0" collapsed="false">
      <c r="A26" s="2" t="s">
        <v>421</v>
      </c>
      <c r="B26" s="2" t="s">
        <v>333</v>
      </c>
      <c r="C26" s="7" t="n">
        <f aca="false">AVERAGEIFS(S1_Extracted_pairs!$P$2:$P$47,S1_Extracted_pairs!$AC$2:$AC$47,"core",S1_Extracted_pairs!$B$2:$B$47,B26,S1_Extracted_pairs!$AB$2:$AB$47,"Glass")</f>
        <v>1.20653362518761</v>
      </c>
      <c r="D26" s="2" t="n">
        <f aca="false">COUNTIFS(S1_Extracted_pairs!$AC$2:$AC$47,"core",S1_Extracted_pairs!$B$2:$B$47,B26,S1_Extracted_pairs!$AB$2:$AB$47,"Glass")</f>
        <v>1</v>
      </c>
      <c r="E26" s="2" t="n">
        <f aca="false">COUNTIFS(S1_Extracted_pairs!$AC$2:$AC$47,"core",S1_Extracted_pairs!$B$2:$B$47,B26,S1_Extracted_pairs!$AB$2:$AB$47,"Glass",S1_Extracted_pairs!$O$2:$O$47,"&lt;1")</f>
        <v>0</v>
      </c>
    </row>
    <row r="27" customFormat="false" ht="15" hidden="false" customHeight="false" outlineLevel="0" collapsed="false">
      <c r="A27" s="2" t="s">
        <v>422</v>
      </c>
      <c r="B27" s="2" t="s">
        <v>183</v>
      </c>
      <c r="C27" s="7" t="n">
        <f aca="false">AVERAGEIFS(S1_Extracted_pairs!$P$2:$P$47,S1_Extracted_pairs!$AC$2:$AC$47,"core",S1_Extracted_pairs!$B$2:$B$47,B27,S1_Extracted_pairs!$AB$2:$AB$47,"Reusable glass")</f>
        <v>0.111791405988117</v>
      </c>
      <c r="D27" s="2" t="n">
        <f aca="false">COUNTIFS(S1_Extracted_pairs!$AC$2:$AC$47,"core",S1_Extracted_pairs!$B$2:$B$47,B27,S1_Extracted_pairs!$AB$2:$AB$47,"Reusable glass")</f>
        <v>1</v>
      </c>
      <c r="E27" s="2" t="n">
        <f aca="false">COUNTIFS(S1_Extracted_pairs!$AC$2:$AC$47,"core",S1_Extracted_pairs!$B$2:$B$47,B27,S1_Extracted_pairs!$AB$2:$AB$47,"Reusable glass",S1_Extracted_pairs!$O$2:$O$47,"&lt;1")</f>
        <v>0</v>
      </c>
    </row>
    <row r="28" customFormat="false" ht="15" hidden="false" customHeight="false" outlineLevel="0" collapsed="false">
      <c r="A28" s="2" t="s">
        <v>422</v>
      </c>
      <c r="B28" s="2" t="s">
        <v>268</v>
      </c>
      <c r="C28" s="7" t="n">
        <f aca="false">AVERAGEIFS(S1_Extracted_pairs!$P$2:$P$47,S1_Extracted_pairs!$AC$2:$AC$47,"core",S1_Extracted_pairs!$B$2:$B$47,B28,S1_Extracted_pairs!$AB$2:$AB$47,"Reusable glass")</f>
        <v>-0.0669178826868303</v>
      </c>
      <c r="D28" s="2" t="n">
        <f aca="false">COUNTIFS(S1_Extracted_pairs!$AC$2:$AC$47,"core",S1_Extracted_pairs!$B$2:$B$47,B28,S1_Extracted_pairs!$AB$2:$AB$47,"Reusable glass")</f>
        <v>2</v>
      </c>
      <c r="E28" s="2" t="n">
        <f aca="false">COUNTIFS(S1_Extracted_pairs!$AC$2:$AC$47,"core",S1_Extracted_pairs!$B$2:$B$47,B28,S1_Extracted_pairs!$AB$2:$AB$47,"Reusable glass",S1_Extracted_pairs!$O$2:$O$47,"&lt;1")</f>
        <v>1</v>
      </c>
    </row>
    <row r="29" customFormat="false" ht="15" hidden="false" customHeight="false" outlineLevel="0" collapsed="false">
      <c r="A29" s="2" t="s">
        <v>422</v>
      </c>
      <c r="B29" s="2" t="s">
        <v>279</v>
      </c>
      <c r="C29" s="7" t="n">
        <f aca="false">AVERAGEIFS(S1_Extracted_pairs!$P$2:$P$47,S1_Extracted_pairs!$AC$2:$AC$47,"core",S1_Extracted_pairs!$B$2:$B$47,B29,S1_Extracted_pairs!$AB$2:$AB$47,"Reusable glass")</f>
        <v>-0.0869478082399414</v>
      </c>
      <c r="D29" s="2" t="n">
        <f aca="false">COUNTIFS(S1_Extracted_pairs!$AC$2:$AC$47,"core",S1_Extracted_pairs!$B$2:$B$47,B29,S1_Extracted_pairs!$AB$2:$AB$47,"Reusable glass")</f>
        <v>2</v>
      </c>
      <c r="E29" s="2" t="n">
        <f aca="false">COUNTIFS(S1_Extracted_pairs!$AC$2:$AC$47,"core",S1_Extracted_pairs!$B$2:$B$47,B29,S1_Extracted_pairs!$AB$2:$AB$47,"Reusable glass",S1_Extracted_pairs!$O$2:$O$47,"&lt;1")</f>
        <v>2</v>
      </c>
    </row>
    <row r="30" customFormat="false" ht="15" hidden="false" customHeight="false" outlineLevel="0" collapsed="false">
      <c r="A30" s="2" t="s">
        <v>422</v>
      </c>
      <c r="B30" s="2" t="s">
        <v>160</v>
      </c>
      <c r="C30" s="7" t="n">
        <f aca="false">AVERAGEIFS(S1_Extracted_pairs!$P$2:$P$47,S1_Extracted_pairs!$AC$2:$AC$47,"core",S1_Extracted_pairs!$B$2:$B$47,B30,S1_Extracted_pairs!$AB$2:$AB$47,"Reusable glass")</f>
        <v>-0.3293037471426</v>
      </c>
      <c r="D30" s="2" t="n">
        <f aca="false">COUNTIFS(S1_Extracted_pairs!$AC$2:$AC$47,"core",S1_Extracted_pairs!$B$2:$B$47,B30,S1_Extracted_pairs!$AB$2:$AB$47,"Reusable glass")</f>
        <v>1</v>
      </c>
      <c r="E30" s="2" t="n">
        <f aca="false">COUNTIFS(S1_Extracted_pairs!$AC$2:$AC$47,"core",S1_Extracted_pairs!$B$2:$B$47,B30,S1_Extracted_pairs!$AB$2:$AB$47,"Reusable glass",S1_Extracted_pairs!$O$2:$O$47,"&lt;1")</f>
        <v>1</v>
      </c>
    </row>
    <row r="31" customFormat="false" ht="15" hidden="false" customHeight="false" outlineLevel="0" collapsed="false">
      <c r="A31" s="2" t="s">
        <v>423</v>
      </c>
      <c r="B31" s="2" t="s">
        <v>57</v>
      </c>
      <c r="C31" s="7" t="n">
        <f aca="false">AVERAGEIFS(S1_Extracted_pairs!$P$2:$P$47,S1_Extracted_pairs!$AC$2:$AC$47,"core",S1_Extracted_pairs!$B$2:$B$47,B31,S1_Extracted_pairs!$AB$2:$AB$47,"Aluminium")</f>
        <v>0.952008814476234</v>
      </c>
      <c r="D31" s="2" t="n">
        <f aca="false">COUNTIFS(S1_Extracted_pairs!$AC$2:$AC$47,"core",S1_Extracted_pairs!$B$2:$B$47,B31,S1_Extracted_pairs!$AB$2:$AB$47,"Aluminium")</f>
        <v>1</v>
      </c>
      <c r="E31" s="2" t="n">
        <f aca="false">COUNTIFS(S1_Extracted_pairs!$AC$2:$AC$47,"core",S1_Extracted_pairs!$B$2:$B$47,B31,S1_Extracted_pairs!$AB$2:$AB$47,"Aluminium",S1_Extracted_pairs!$O$2:$O$47,"&lt;1")</f>
        <v>0</v>
      </c>
    </row>
    <row r="32" customFormat="false" ht="15" hidden="false" customHeight="false" outlineLevel="0" collapsed="false">
      <c r="A32" s="2" t="s">
        <v>423</v>
      </c>
      <c r="B32" s="2" t="s">
        <v>97</v>
      </c>
      <c r="C32" s="7" t="n">
        <f aca="false">AVERAGEIFS(S1_Extracted_pairs!$P$2:$P$47,S1_Extracted_pairs!$AC$2:$AC$47,"core",S1_Extracted_pairs!$B$2:$B$47,B32,S1_Extracted_pairs!$AB$2:$AB$47,"Aluminium")</f>
        <v>1.34707364796661</v>
      </c>
      <c r="D32" s="2" t="n">
        <f aca="false">COUNTIFS(S1_Extracted_pairs!$AC$2:$AC$47,"core",S1_Extracted_pairs!$B$2:$B$47,B32,S1_Extracted_pairs!$AB$2:$AB$47,"Aluminium")</f>
        <v>1</v>
      </c>
      <c r="E32" s="2" t="n">
        <f aca="false">COUNTIFS(S1_Extracted_pairs!$AC$2:$AC$47,"core",S1_Extracted_pairs!$B$2:$B$47,B32,S1_Extracted_pairs!$AB$2:$AB$47,"Aluminium",S1_Extracted_pairs!$O$2:$O$47,"&lt;1")</f>
        <v>0</v>
      </c>
    </row>
    <row r="33" customFormat="false" ht="15" hidden="false" customHeight="false" outlineLevel="0" collapsed="false">
      <c r="A33" s="2" t="s">
        <v>423</v>
      </c>
      <c r="B33" s="2" t="s">
        <v>223</v>
      </c>
      <c r="C33" s="7" t="n">
        <f aca="false">AVERAGEIFS(S1_Extracted_pairs!$P$2:$P$47,S1_Extracted_pairs!$AC$2:$AC$47,"core",S1_Extracted_pairs!$B$2:$B$47,B33,S1_Extracted_pairs!$AB$2:$AB$47,"Aluminium")</f>
        <v>0.394276964893487</v>
      </c>
      <c r="D33" s="2" t="n">
        <f aca="false">COUNTIFS(S1_Extracted_pairs!$AC$2:$AC$47,"core",S1_Extracted_pairs!$B$2:$B$47,B33,S1_Extracted_pairs!$AB$2:$AB$47,"Aluminium")</f>
        <v>2</v>
      </c>
      <c r="E33" s="2" t="n">
        <f aca="false">COUNTIFS(S1_Extracted_pairs!$AC$2:$AC$47,"core",S1_Extracted_pairs!$B$2:$B$47,B33,S1_Extracted_pairs!$AB$2:$AB$47,"Aluminium",S1_Extracted_pairs!$O$2:$O$47,"&lt;1")</f>
        <v>0</v>
      </c>
    </row>
    <row r="34" customFormat="false" ht="15" hidden="false" customHeight="false" outlineLevel="0" collapsed="false">
      <c r="A34" s="2" t="s">
        <v>424</v>
      </c>
      <c r="B34" s="2" t="s">
        <v>57</v>
      </c>
      <c r="C34" s="7" t="n">
        <f aca="false">AVERAGEIFS(S1_Extracted_pairs!$P$2:$P$47,S1_Extracted_pairs!$AC$2:$AC$47,"core",S1_Extracted_pairs!$B$2:$B$47,B34,S1_Extracted_pairs!$AB$2:$AB$47,"Carton")</f>
        <v>-0.152468593644274</v>
      </c>
      <c r="D34" s="2" t="n">
        <f aca="false">COUNTIFS(S1_Extracted_pairs!$AC$2:$AC$47,"core",S1_Extracted_pairs!$B$2:$B$47,B34,S1_Extracted_pairs!$AB$2:$AB$47,"Carton")</f>
        <v>1</v>
      </c>
      <c r="E34" s="2" t="n">
        <f aca="false">COUNTIFS(S1_Extracted_pairs!$AC$2:$AC$47,"core",S1_Extracted_pairs!$B$2:$B$47,B34,S1_Extracted_pairs!$AB$2:$AB$47,"Carton",S1_Extracted_pairs!$O$2:$O$47,"&lt;1")</f>
        <v>1</v>
      </c>
    </row>
    <row r="35" customFormat="false" ht="15" hidden="false" customHeight="false" outlineLevel="0" collapsed="false">
      <c r="A35" s="2" t="s">
        <v>424</v>
      </c>
      <c r="B35" s="2" t="s">
        <v>128</v>
      </c>
      <c r="C35" s="7" t="n">
        <f aca="false">AVERAGEIFS(S1_Extracted_pairs!$P$2:$P$47,S1_Extracted_pairs!$AC$2:$AC$47,"core",S1_Extracted_pairs!$B$2:$B$47,B35,S1_Extracted_pairs!$AB$2:$AB$47,"Carton")</f>
        <v>-0.50657619851371</v>
      </c>
      <c r="D35" s="2" t="n">
        <f aca="false">COUNTIFS(S1_Extracted_pairs!$AC$2:$AC$47,"core",S1_Extracted_pairs!$B$2:$B$47,B35,S1_Extracted_pairs!$AB$2:$AB$47,"Carton")</f>
        <v>2</v>
      </c>
      <c r="E35" s="2" t="n">
        <f aca="false">COUNTIFS(S1_Extracted_pairs!$AC$2:$AC$47,"core",S1_Extracted_pairs!$B$2:$B$47,B35,S1_Extracted_pairs!$AB$2:$AB$47,"Carton",S1_Extracted_pairs!$O$2:$O$47,"&lt;1")</f>
        <v>2</v>
      </c>
    </row>
    <row r="36" customFormat="false" ht="15" hidden="false" customHeight="false" outlineLevel="0" collapsed="false">
      <c r="A36" s="2" t="s">
        <v>424</v>
      </c>
      <c r="B36" s="2" t="s">
        <v>279</v>
      </c>
      <c r="C36" s="7" t="n">
        <f aca="false">AVERAGEIFS(S1_Extracted_pairs!$P$2:$P$47,S1_Extracted_pairs!$AC$2:$AC$47,"core",S1_Extracted_pairs!$B$2:$B$47,B36,S1_Extracted_pairs!$AB$2:$AB$47,"Carton")</f>
        <v>-0.343333327001158</v>
      </c>
      <c r="D36" s="2" t="n">
        <f aca="false">COUNTIFS(S1_Extracted_pairs!$AC$2:$AC$47,"core",S1_Extracted_pairs!$B$2:$B$47,B36,S1_Extracted_pairs!$AB$2:$AB$47,"Carton")</f>
        <v>1</v>
      </c>
      <c r="E36" s="2" t="n">
        <f aca="false">COUNTIFS(S1_Extracted_pairs!$AC$2:$AC$47,"core",S1_Extracted_pairs!$B$2:$B$47,B36,S1_Extracted_pairs!$AB$2:$AB$47,"Carton",S1_Extracted_pairs!$O$2:$O$47,"&lt;1")</f>
        <v>1</v>
      </c>
    </row>
    <row r="37" customFormat="false" ht="15" hidden="false" customHeight="false" outlineLevel="0" collapsed="false">
      <c r="A37" s="2" t="s">
        <v>424</v>
      </c>
      <c r="B37" s="2" t="s">
        <v>317</v>
      </c>
      <c r="C37" s="7" t="n">
        <f aca="false">AVERAGEIFS(S1_Extracted_pairs!$P$2:$P$47,S1_Extracted_pairs!$AC$2:$AC$47,"core",S1_Extracted_pairs!$B$2:$B$47,B37,S1_Extracted_pairs!$AB$2:$AB$47,"Carton")</f>
        <v>-0.539943022336718</v>
      </c>
      <c r="D37" s="2" t="n">
        <f aca="false">COUNTIFS(S1_Extracted_pairs!$AC$2:$AC$47,"core",S1_Extracted_pairs!$B$2:$B$47,B37,S1_Extracted_pairs!$AB$2:$AB$47,"Carton")</f>
        <v>1</v>
      </c>
      <c r="E37" s="2" t="n">
        <f aca="false">COUNTIFS(S1_Extracted_pairs!$AC$2:$AC$47,"core",S1_Extracted_pairs!$B$2:$B$47,B37,S1_Extracted_pairs!$AB$2:$AB$47,"Carton",S1_Extracted_pairs!$O$2:$O$47,"&lt;1")</f>
        <v>1</v>
      </c>
    </row>
    <row r="38" customFormat="false" ht="15" hidden="false" customHeight="false" outlineLevel="0" collapsed="false">
      <c r="A38" s="2" t="s">
        <v>424</v>
      </c>
      <c r="B38" s="2" t="s">
        <v>326</v>
      </c>
      <c r="C38" s="7" t="n">
        <f aca="false">AVERAGEIFS(S1_Extracted_pairs!$P$2:$P$47,S1_Extracted_pairs!$AC$2:$AC$47,"core",S1_Extracted_pairs!$B$2:$B$47,B38,S1_Extracted_pairs!$AB$2:$AB$47,"Carton")</f>
        <v>-0.461554574759208</v>
      </c>
      <c r="D38" s="2" t="n">
        <f aca="false">COUNTIFS(S1_Extracted_pairs!$AC$2:$AC$47,"core",S1_Extracted_pairs!$B$2:$B$47,B38,S1_Extracted_pairs!$AB$2:$AB$47,"Carton")</f>
        <v>1</v>
      </c>
      <c r="E38" s="2" t="n">
        <f aca="false">COUNTIFS(S1_Extracted_pairs!$AC$2:$AC$47,"core",S1_Extracted_pairs!$B$2:$B$47,B38,S1_Extracted_pairs!$AB$2:$AB$47,"Carton",S1_Extracted_pairs!$O$2:$O$47,"&lt;1")</f>
        <v>1</v>
      </c>
    </row>
    <row r="39" customFormat="false" ht="15" hidden="false" customHeight="false" outlineLevel="0" collapsed="false">
      <c r="A39" s="2" t="s">
        <v>424</v>
      </c>
      <c r="B39" s="2" t="s">
        <v>333</v>
      </c>
      <c r="C39" s="7" t="n">
        <f aca="false">AVERAGEIFS(S1_Extracted_pairs!$P$2:$P$47,S1_Extracted_pairs!$AC$2:$AC$47,"core",S1_Extracted_pairs!$B$2:$B$47,B39,S1_Extracted_pairs!$AB$2:$AB$47,"Carton")</f>
        <v>-0.926312290335174</v>
      </c>
      <c r="D39" s="2" t="n">
        <f aca="false">COUNTIFS(S1_Extracted_pairs!$AC$2:$AC$47,"core",S1_Extracted_pairs!$B$2:$B$47,B39,S1_Extracted_pairs!$AB$2:$AB$47,"Carton")</f>
        <v>1</v>
      </c>
      <c r="E39" s="2" t="n">
        <f aca="false">COUNTIFS(S1_Extracted_pairs!$AC$2:$AC$47,"core",S1_Extracted_pairs!$B$2:$B$47,B39,S1_Extracted_pairs!$AB$2:$AB$47,"Carton",S1_Extracted_pairs!$O$2:$O$47,"&lt;1")</f>
        <v>1</v>
      </c>
    </row>
    <row r="40" customFormat="false" ht="15" hidden="false" customHeight="false" outlineLevel="0" collapsed="false">
      <c r="A40" s="2" t="s">
        <v>424</v>
      </c>
      <c r="B40" s="2" t="s">
        <v>347</v>
      </c>
      <c r="C40" s="7" t="n">
        <f aca="false">AVERAGEIFS(S1_Extracted_pairs!$P$2:$P$47,S1_Extracted_pairs!$AC$2:$AC$47,"core",S1_Extracted_pairs!$B$2:$B$47,B40,S1_Extracted_pairs!$AB$2:$AB$47,"Carton")</f>
        <v>-0.335215077137856</v>
      </c>
      <c r="D40" s="2" t="n">
        <f aca="false">COUNTIFS(S1_Extracted_pairs!$AC$2:$AC$47,"core",S1_Extracted_pairs!$B$2:$B$47,B40,S1_Extracted_pairs!$AB$2:$AB$47,"Carton")</f>
        <v>2</v>
      </c>
      <c r="E40" s="2" t="n">
        <f aca="false">COUNTIFS(S1_Extracted_pairs!$AC$2:$AC$47,"core",S1_Extracted_pairs!$B$2:$B$47,B40,S1_Extracted_pairs!$AB$2:$AB$47,"Carton",S1_Extracted_pairs!$O$2:$O$47,"&lt;1")</f>
        <v>2</v>
      </c>
    </row>
    <row r="41" customFormat="false" ht="15" hidden="false" customHeight="false" outlineLevel="0" collapsed="false">
      <c r="A41" s="2" t="s">
        <v>425</v>
      </c>
      <c r="B41" s="2" t="s">
        <v>359</v>
      </c>
      <c r="C41" s="7" t="n">
        <f aca="false">AVERAGEIFS(S1_Extracted_pairs!$P$2:$P$47,S1_Extracted_pairs!$AC$2:$AC$47,"core",S1_Extracted_pairs!$B$2:$B$47,B41,S1_Extracted_pairs!$AB$2:$AB$47,"Pouch/refill")</f>
        <v>0.53841358028482</v>
      </c>
      <c r="D41" s="2" t="n">
        <f aca="false">COUNTIFS(S1_Extracted_pairs!$AC$2:$AC$47,"core",S1_Extracted_pairs!$B$2:$B$47,B41,S1_Extracted_pairs!$AB$2:$AB$47,"Pouch/refill")</f>
        <v>1</v>
      </c>
      <c r="E41" s="2" t="n">
        <f aca="false">COUNTIFS(S1_Extracted_pairs!$AC$2:$AC$47,"core",S1_Extracted_pairs!$B$2:$B$47,B41,S1_Extracted_pairs!$AB$2:$AB$47,"Pouch/refill",S1_Extracted_pairs!$O$2:$O$47,"&lt;1")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6"/>
  </cols>
  <sheetData>
    <row r="1" customFormat="false" ht="15" hidden="false" customHeight="false" outlineLevel="0" collapsed="false">
      <c r="A1" s="4" t="s">
        <v>426</v>
      </c>
    </row>
    <row r="3" customFormat="false" ht="26.85" hidden="false" customHeight="false" outlineLevel="0" collapsed="false">
      <c r="A3" s="5" t="s">
        <v>416</v>
      </c>
      <c r="B3" s="5" t="s">
        <v>427</v>
      </c>
      <c r="C3" s="5" t="s">
        <v>418</v>
      </c>
      <c r="D3" s="5" t="s">
        <v>428</v>
      </c>
      <c r="E3" s="5" t="s">
        <v>429</v>
      </c>
      <c r="F3" s="5" t="s">
        <v>430</v>
      </c>
      <c r="G3" s="5" t="s">
        <v>431</v>
      </c>
      <c r="H3" s="5" t="s">
        <v>432</v>
      </c>
      <c r="I3" s="5" t="s">
        <v>433</v>
      </c>
      <c r="J3" s="5" t="s">
        <v>434</v>
      </c>
      <c r="K3" s="5" t="s">
        <v>435</v>
      </c>
      <c r="L3" s="5" t="s">
        <v>436</v>
      </c>
      <c r="M3" s="5" t="s">
        <v>437</v>
      </c>
    </row>
    <row r="4" customFormat="false" ht="15" hidden="false" customHeight="false" outlineLevel="0" collapsed="false">
      <c r="A4" s="2" t="s">
        <v>420</v>
      </c>
      <c r="B4" s="2" t="n">
        <v>16</v>
      </c>
      <c r="C4" s="2" t="n">
        <v>31</v>
      </c>
      <c r="D4" s="7" t="n">
        <v>0.318559049640112</v>
      </c>
      <c r="E4" s="7" t="n">
        <v>1.37514482059318</v>
      </c>
      <c r="F4" s="7" t="n">
        <v>41.9354838709677</v>
      </c>
      <c r="G4" s="7" t="n">
        <v>1.02953336522285</v>
      </c>
      <c r="H4" s="7" t="n">
        <v>1.87825684951882</v>
      </c>
      <c r="I4" s="7" t="n">
        <v>0.98400916683051</v>
      </c>
      <c r="J4" s="7" t="n">
        <v>1.92175372074554</v>
      </c>
      <c r="K4" s="7" t="n">
        <v>0.628077950849788</v>
      </c>
      <c r="L4" s="7" t="n">
        <v>0.345985540521573</v>
      </c>
      <c r="M4" s="7" t="n">
        <v>5.46561360556725</v>
      </c>
      <c r="N4" s="9"/>
    </row>
    <row r="5" customFormat="false" ht="15" hidden="false" customHeight="false" outlineLevel="0" collapsed="false">
      <c r="A5" s="2" t="s">
        <v>421</v>
      </c>
      <c r="B5" s="2" t="n">
        <v>9</v>
      </c>
      <c r="C5" s="2" t="n">
        <v>11</v>
      </c>
      <c r="D5" s="7" t="n">
        <v>0.94782254120853</v>
      </c>
      <c r="E5" s="7" t="n">
        <v>2.58008550848647</v>
      </c>
      <c r="F5" s="7" t="n">
        <v>0</v>
      </c>
      <c r="G5" s="7" t="n">
        <v>1.88644565210227</v>
      </c>
      <c r="H5" s="7" t="n">
        <v>3.49436499562938</v>
      </c>
      <c r="I5" s="7" t="n">
        <v>1.75698673628982</v>
      </c>
      <c r="J5" s="7" t="n">
        <v>3.78878285965834</v>
      </c>
      <c r="K5" s="7" t="n">
        <v>0.49985462978982</v>
      </c>
      <c r="L5" s="7" t="n">
        <v>0.76552378371606</v>
      </c>
      <c r="M5" s="7" t="n">
        <v>8.69579936339508</v>
      </c>
      <c r="N5" s="9"/>
    </row>
    <row r="6" customFormat="false" ht="15" hidden="false" customHeight="false" outlineLevel="0" collapsed="false">
      <c r="A6" s="2" t="s">
        <v>422</v>
      </c>
      <c r="B6" s="2" t="n">
        <v>4</v>
      </c>
      <c r="C6" s="2" t="n">
        <v>6</v>
      </c>
      <c r="D6" s="7" t="n">
        <v>-0.0928445080203138</v>
      </c>
      <c r="E6" s="7" t="n">
        <v>0.911335194593257</v>
      </c>
      <c r="F6" s="7" t="n">
        <v>66.6666666666667</v>
      </c>
      <c r="G6" s="7" t="n">
        <v>0.768198372986138</v>
      </c>
      <c r="H6" s="7" t="n">
        <v>1.06407577174627</v>
      </c>
      <c r="I6" s="7" t="n">
        <v>0.683063457916282</v>
      </c>
      <c r="J6" s="7" t="n">
        <v>1.21589264844866</v>
      </c>
      <c r="K6" s="7" t="n">
        <v>0.181195833320231</v>
      </c>
      <c r="L6" s="7" t="n">
        <v>0.478282198628217</v>
      </c>
      <c r="M6" s="7" t="n">
        <v>1.73648912563841</v>
      </c>
      <c r="N6" s="9"/>
    </row>
    <row r="7" customFormat="false" ht="15" hidden="false" customHeight="false" outlineLevel="0" collapsed="false">
      <c r="A7" s="2" t="s">
        <v>423</v>
      </c>
      <c r="B7" s="2" t="n">
        <v>3</v>
      </c>
      <c r="C7" s="2" t="n">
        <v>4</v>
      </c>
      <c r="D7" s="7" t="n">
        <v>0.897786475778777</v>
      </c>
      <c r="E7" s="7" t="n">
        <v>2.45416474129804</v>
      </c>
      <c r="F7" s="7" t="n">
        <v>0</v>
      </c>
      <c r="G7" s="7" t="n">
        <v>1.48331131694884</v>
      </c>
      <c r="H7" s="7" t="n">
        <v>3.84615384615385</v>
      </c>
      <c r="I7" s="7" t="n">
        <v>0.747225903485006</v>
      </c>
      <c r="J7" s="7" t="n">
        <v>8.06037979858567</v>
      </c>
      <c r="K7" s="7" t="n">
        <v>0.478707036013837</v>
      </c>
      <c r="L7" s="7" t="n">
        <v>0.227509808711402</v>
      </c>
      <c r="M7" s="7" t="n">
        <v>26.4732523469816</v>
      </c>
      <c r="N7" s="9"/>
    </row>
    <row r="8" customFormat="false" ht="15" hidden="false" customHeight="false" outlineLevel="0" collapsed="false">
      <c r="A8" s="2" t="s">
        <v>424</v>
      </c>
      <c r="B8" s="2" t="n">
        <v>7</v>
      </c>
      <c r="C8" s="2" t="n">
        <v>9</v>
      </c>
      <c r="D8" s="7" t="n">
        <v>-0.4664861548183</v>
      </c>
      <c r="E8" s="7" t="n">
        <v>0.627202292500245</v>
      </c>
      <c r="F8" s="7" t="n">
        <v>100</v>
      </c>
      <c r="G8" s="7" t="n">
        <v>0.524347670869656</v>
      </c>
      <c r="H8" s="7" t="n">
        <v>0.7306929119914</v>
      </c>
      <c r="I8" s="7" t="n">
        <v>0.501731843742349</v>
      </c>
      <c r="J8" s="7" t="n">
        <v>0.784049728204165</v>
      </c>
      <c r="K8" s="7" t="n">
        <v>0.241341135441035</v>
      </c>
      <c r="L8" s="7" t="n">
        <v>0.333604043441009</v>
      </c>
      <c r="M8" s="7" t="n">
        <v>1.17919049079849</v>
      </c>
      <c r="N8" s="9"/>
    </row>
    <row r="9" customFormat="false" ht="15" hidden="false" customHeight="false" outlineLevel="0" collapsed="false">
      <c r="A9" s="2" t="s">
        <v>425</v>
      </c>
      <c r="B9" s="2" t="n">
        <v>1</v>
      </c>
      <c r="C9" s="2" t="n">
        <v>1</v>
      </c>
      <c r="D9" s="7" t="n">
        <v>0.53841358028482</v>
      </c>
      <c r="E9" s="7" t="n">
        <v>1.71328671328671</v>
      </c>
      <c r="F9" s="7" t="n">
        <v>0</v>
      </c>
      <c r="G9" s="7"/>
      <c r="H9" s="7"/>
      <c r="I9" s="7"/>
      <c r="J9" s="7"/>
      <c r="K9" s="7"/>
      <c r="L9" s="7"/>
      <c r="M9" s="7"/>
      <c r="N9" s="9"/>
    </row>
    <row r="11" customFormat="false" ht="15" hidden="false" customHeight="false" outlineLevel="0" collapsed="false">
      <c r="A11" s="3" t="s">
        <v>438</v>
      </c>
    </row>
    <row r="12" customFormat="false" ht="15" hidden="false" customHeight="false" outlineLevel="0" collapsed="false">
      <c r="A12" s="8" t="s">
        <v>416</v>
      </c>
      <c r="B12" s="8" t="s">
        <v>427</v>
      </c>
      <c r="C12" s="8" t="s">
        <v>418</v>
      </c>
      <c r="D12" s="8" t="s">
        <v>428</v>
      </c>
      <c r="E12" s="8" t="s">
        <v>429</v>
      </c>
      <c r="F12" s="8" t="s">
        <v>439</v>
      </c>
      <c r="G12" s="8" t="s">
        <v>440</v>
      </c>
      <c r="H12" s="8" t="s">
        <v>430</v>
      </c>
      <c r="I12" s="8" t="s">
        <v>441</v>
      </c>
    </row>
    <row r="13" customFormat="false" ht="15" hidden="false" customHeight="false" outlineLevel="0" collapsed="false">
      <c r="A13" s="2" t="s">
        <v>420</v>
      </c>
      <c r="B13" s="2" t="n">
        <f aca="false">COUNTIF(S2b_Study_means!$A$2:$A$41,A13)</f>
        <v>16</v>
      </c>
      <c r="C13" s="2" t="n">
        <f aca="false">SUMIF(S2b_Study_means!$A$2:$A$41,A13,S2b_Study_means!$D$2:$D$41)</f>
        <v>31</v>
      </c>
      <c r="D13" s="7" t="n">
        <f aca="false">AVERAGEIF(S2b_Study_means!$A$2:$A$41,A13,S2b_Study_means!$C$2:$C$41)</f>
        <v>0.318559049640112</v>
      </c>
      <c r="E13" s="7" t="n">
        <f aca="false">EXP(D13)</f>
        <v>1.37514482059318</v>
      </c>
      <c r="F13" s="7" t="n">
        <f aca="false">IF(B13&gt;1,EXP(D13-TINV(0.05,B13-1)*I13/SQRT(B13)),"n/a")</f>
        <v>0.98400916683051</v>
      </c>
      <c r="G13" s="7" t="n">
        <f aca="false">IF(B13&gt;1,EXP(D13+TINV(0.05,B13-1)*I13/SQRT(B13)),"n/a")</f>
        <v>1.92175372074554</v>
      </c>
      <c r="H13" s="7" t="n">
        <f aca="false">100*SUMIF(S2b_Study_means!$A$2:$A$41,A13,S2b_Study_means!$E$2:$E$41)/C13</f>
        <v>41.9354838709677</v>
      </c>
      <c r="I13" s="7" t="n">
        <f aca="false">IF(B13&gt;1,SQRT((SUMPRODUCT((S2b_Study_means!$A$2:$A$41=A13)*(S2b_Study_means!$C$2:$C$41^2))-B13*D13^2)/(B13-1)),"n/a")</f>
        <v>0.628077950849788</v>
      </c>
    </row>
    <row r="14" customFormat="false" ht="15" hidden="false" customHeight="false" outlineLevel="0" collapsed="false">
      <c r="A14" s="2" t="s">
        <v>421</v>
      </c>
      <c r="B14" s="2" t="n">
        <f aca="false">COUNTIF(S2b_Study_means!$A$2:$A$41,A14)</f>
        <v>9</v>
      </c>
      <c r="C14" s="2" t="n">
        <f aca="false">SUMIF(S2b_Study_means!$A$2:$A$41,A14,S2b_Study_means!$D$2:$D$41)</f>
        <v>11</v>
      </c>
      <c r="D14" s="7" t="n">
        <f aca="false">AVERAGEIF(S2b_Study_means!$A$2:$A$41,A14,S2b_Study_means!$C$2:$C$41)</f>
        <v>0.94782254120853</v>
      </c>
      <c r="E14" s="7" t="n">
        <f aca="false">EXP(D14)</f>
        <v>2.58008550848647</v>
      </c>
      <c r="F14" s="7" t="n">
        <f aca="false">IF(B14&gt;1,EXP(D14-TINV(0.05,B14-1)*I14/SQRT(B14)),"n/a")</f>
        <v>1.75698673628982</v>
      </c>
      <c r="G14" s="7" t="n">
        <f aca="false">IF(B14&gt;1,EXP(D14+TINV(0.05,B14-1)*I14/SQRT(B14)),"n/a")</f>
        <v>3.78878285965833</v>
      </c>
      <c r="H14" s="7" t="n">
        <f aca="false">100*SUMIF(S2b_Study_means!$A$2:$A$41,A14,S2b_Study_means!$E$2:$E$41)/C14</f>
        <v>0</v>
      </c>
      <c r="I14" s="7" t="n">
        <f aca="false">IF(B14&gt;1,SQRT((SUMPRODUCT((S2b_Study_means!$A$2:$A$41=A14)*(S2b_Study_means!$C$2:$C$41^2))-B14*D14^2)/(B14-1)),"n/a")</f>
        <v>0.499854629789819</v>
      </c>
    </row>
    <row r="15" customFormat="false" ht="15" hidden="false" customHeight="false" outlineLevel="0" collapsed="false">
      <c r="A15" s="2" t="s">
        <v>422</v>
      </c>
      <c r="B15" s="2" t="n">
        <f aca="false">COUNTIF(S2b_Study_means!$A$2:$A$41,A15)</f>
        <v>4</v>
      </c>
      <c r="C15" s="2" t="n">
        <f aca="false">SUMIF(S2b_Study_means!$A$2:$A$41,A15,S2b_Study_means!$D$2:$D$41)</f>
        <v>6</v>
      </c>
      <c r="D15" s="7" t="n">
        <f aca="false">AVERAGEIF(S2b_Study_means!$A$2:$A$41,A15,S2b_Study_means!$C$2:$C$41)</f>
        <v>-0.0928445080203139</v>
      </c>
      <c r="E15" s="7" t="n">
        <f aca="false">EXP(D15)</f>
        <v>0.911335194593257</v>
      </c>
      <c r="F15" s="7" t="n">
        <f aca="false">IF(B15&gt;1,EXP(D15-TINV(0.05,B15-1)*I15/SQRT(B15)),"n/a")</f>
        <v>0.683063457916281</v>
      </c>
      <c r="G15" s="7" t="n">
        <f aca="false">IF(B15&gt;1,EXP(D15+TINV(0.05,B15-1)*I15/SQRT(B15)),"n/a")</f>
        <v>1.21589264844866</v>
      </c>
      <c r="H15" s="7" t="n">
        <f aca="false">100*SUMIF(S2b_Study_means!$A$2:$A$41,A15,S2b_Study_means!$E$2:$E$41)/C15</f>
        <v>66.6666666666667</v>
      </c>
      <c r="I15" s="7" t="n">
        <f aca="false">IF(B15&gt;1,SQRT((SUMPRODUCT((S2b_Study_means!$A$2:$A$41=A15)*(S2b_Study_means!$C$2:$C$41^2))-B15*D15^2)/(B15-1)),"n/a")</f>
        <v>0.181195833320231</v>
      </c>
    </row>
    <row r="16" customFormat="false" ht="15" hidden="false" customHeight="false" outlineLevel="0" collapsed="false">
      <c r="A16" s="2" t="s">
        <v>423</v>
      </c>
      <c r="B16" s="2" t="n">
        <f aca="false">COUNTIF(S2b_Study_means!$A$2:$A$41,A16)</f>
        <v>3</v>
      </c>
      <c r="C16" s="2" t="n">
        <f aca="false">SUMIF(S2b_Study_means!$A$2:$A$41,A16,S2b_Study_means!$D$2:$D$41)</f>
        <v>4</v>
      </c>
      <c r="D16" s="7" t="n">
        <f aca="false">AVERAGEIF(S2b_Study_means!$A$2:$A$41,A16,S2b_Study_means!$C$2:$C$41)</f>
        <v>0.897786475778777</v>
      </c>
      <c r="E16" s="7" t="n">
        <f aca="false">EXP(D16)</f>
        <v>2.45416474129804</v>
      </c>
      <c r="F16" s="7" t="n">
        <f aca="false">IF(B16&gt;1,EXP(D16-TINV(0.05,B16-1)*I16/SQRT(B16)),"n/a")</f>
        <v>0.747225903485006</v>
      </c>
      <c r="G16" s="7" t="n">
        <f aca="false">IF(B16&gt;1,EXP(D16+TINV(0.05,B16-1)*I16/SQRT(B16)),"n/a")</f>
        <v>8.06037979858567</v>
      </c>
      <c r="H16" s="7" t="n">
        <f aca="false">100*SUMIF(S2b_Study_means!$A$2:$A$41,A16,S2b_Study_means!$E$2:$E$41)/C16</f>
        <v>0</v>
      </c>
      <c r="I16" s="7" t="n">
        <f aca="false">IF(B16&gt;1,SQRT((SUMPRODUCT((S2b_Study_means!$A$2:$A$41=A16)*(S2b_Study_means!$C$2:$C$41^2))-B16*D16^2)/(B16-1)),"n/a")</f>
        <v>0.478707036013836</v>
      </c>
    </row>
    <row r="17" customFormat="false" ht="15" hidden="false" customHeight="false" outlineLevel="0" collapsed="false">
      <c r="A17" s="2" t="s">
        <v>424</v>
      </c>
      <c r="B17" s="2" t="n">
        <f aca="false">COUNTIF(S2b_Study_means!$A$2:$A$41,A17)</f>
        <v>7</v>
      </c>
      <c r="C17" s="2" t="n">
        <f aca="false">SUMIF(S2b_Study_means!$A$2:$A$41,A17,S2b_Study_means!$D$2:$D$41)</f>
        <v>9</v>
      </c>
      <c r="D17" s="7" t="n">
        <f aca="false">AVERAGEIF(S2b_Study_means!$A$2:$A$41,A17,S2b_Study_means!$C$2:$C$41)</f>
        <v>-0.4664861548183</v>
      </c>
      <c r="E17" s="7" t="n">
        <f aca="false">EXP(D17)</f>
        <v>0.627202292500245</v>
      </c>
      <c r="F17" s="7" t="n">
        <f aca="false">IF(B17&gt;1,EXP(D17-TINV(0.05,B17-1)*I17/SQRT(B17)),"n/a")</f>
        <v>0.501731843742349</v>
      </c>
      <c r="G17" s="7" t="n">
        <f aca="false">IF(B17&gt;1,EXP(D17+TINV(0.05,B17-1)*I17/SQRT(B17)),"n/a")</f>
        <v>0.784049728204164</v>
      </c>
      <c r="H17" s="7" t="n">
        <f aca="false">100*SUMIF(S2b_Study_means!$A$2:$A$41,A17,S2b_Study_means!$E$2:$E$41)/C17</f>
        <v>100</v>
      </c>
      <c r="I17" s="7" t="n">
        <f aca="false">IF(B17&gt;1,SQRT((SUMPRODUCT((S2b_Study_means!$A$2:$A$41=A17)*(S2b_Study_means!$C$2:$C$41^2))-B17*D17^2)/(B17-1)),"n/a")</f>
        <v>0.241341135441035</v>
      </c>
    </row>
    <row r="18" customFormat="false" ht="15" hidden="false" customHeight="false" outlineLevel="0" collapsed="false">
      <c r="A18" s="2" t="s">
        <v>425</v>
      </c>
      <c r="B18" s="2" t="n">
        <f aca="false">COUNTIF(S2b_Study_means!$A$2:$A$41,A18)</f>
        <v>1</v>
      </c>
      <c r="C18" s="2" t="n">
        <f aca="false">SUMIF(S2b_Study_means!$A$2:$A$41,A18,S2b_Study_means!$D$2:$D$41)</f>
        <v>1</v>
      </c>
      <c r="D18" s="7" t="n">
        <f aca="false">AVERAGEIF(S2b_Study_means!$A$2:$A$41,A18,S2b_Study_means!$C$2:$C$41)</f>
        <v>0.53841358028482</v>
      </c>
      <c r="E18" s="7" t="n">
        <f aca="false">EXP(D18)</f>
        <v>1.71328671328671</v>
      </c>
      <c r="F18" s="7" t="str">
        <f aca="false">IF(B18&gt;1,EXP(D18-TINV(0.05,B18-1)*I18/SQRT(B18)),"n/a")</f>
        <v>n/a</v>
      </c>
      <c r="G18" s="7" t="str">
        <f aca="false">IF(B18&gt;1,EXP(D18+TINV(0.05,B18-1)*I18/SQRT(B18)),"n/a")</f>
        <v>n/a</v>
      </c>
      <c r="H18" s="7" t="n">
        <f aca="false">100*SUMIF(S2b_Study_means!$A$2:$A$41,A18,S2b_Study_means!$E$2:$E$41)/C18</f>
        <v>0</v>
      </c>
      <c r="I18" s="7" t="str">
        <f aca="false">IF(B18&gt;1,SQRT((SUMPRODUCT((S2b_Study_means!$A$2:$A$41=A18)*(S2b_Study_means!$C$2:$C$41^2))-B18*D18^2)/(B18-1)),"n/a")</f>
        <v>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12" min="3" style="0" width="16"/>
  </cols>
  <sheetData>
    <row r="1" customFormat="false" ht="15" hidden="false" customHeight="false" outlineLevel="0" collapsed="false">
      <c r="A1" s="4" t="s">
        <v>442</v>
      </c>
    </row>
    <row r="3" customFormat="false" ht="26.85" hidden="false" customHeight="false" outlineLevel="0" collapsed="false">
      <c r="A3" s="5" t="s">
        <v>443</v>
      </c>
      <c r="B3" s="5" t="s">
        <v>444</v>
      </c>
      <c r="C3" s="5" t="s">
        <v>445</v>
      </c>
      <c r="D3" s="5" t="s">
        <v>446</v>
      </c>
      <c r="E3" s="5" t="s">
        <v>447</v>
      </c>
      <c r="F3" s="5" t="s">
        <v>448</v>
      </c>
      <c r="G3" s="5" t="s">
        <v>449</v>
      </c>
      <c r="H3" s="5" t="s">
        <v>450</v>
      </c>
      <c r="I3" s="5" t="s">
        <v>451</v>
      </c>
      <c r="J3" s="5" t="s">
        <v>452</v>
      </c>
      <c r="K3" s="5" t="s">
        <v>453</v>
      </c>
      <c r="L3" s="5" t="s">
        <v>454</v>
      </c>
    </row>
    <row r="4" customFormat="false" ht="15" hidden="false" customHeight="false" outlineLevel="0" collapsed="false">
      <c r="A4" s="2" t="s">
        <v>455</v>
      </c>
      <c r="B4" s="2" t="s">
        <v>62</v>
      </c>
      <c r="C4" s="2" t="s">
        <v>456</v>
      </c>
      <c r="D4" s="2" t="n">
        <v>11</v>
      </c>
      <c r="E4" s="2" t="n">
        <v>5</v>
      </c>
      <c r="F4" s="2" t="n">
        <v>25</v>
      </c>
      <c r="G4" s="2" t="n">
        <v>6</v>
      </c>
      <c r="H4" s="7" t="n">
        <v>1.24325761478038</v>
      </c>
      <c r="I4" s="7" t="n">
        <v>1.71664510058809</v>
      </c>
      <c r="J4" s="7" t="n">
        <v>0.765148240538786</v>
      </c>
      <c r="K4" s="7" t="n">
        <v>0.539214290625545</v>
      </c>
      <c r="L4" s="7" t="n">
        <v>1.06186432429115</v>
      </c>
    </row>
    <row r="5" customFormat="false" ht="15" hidden="false" customHeight="false" outlineLevel="0" collapsed="false">
      <c r="A5" s="2" t="s">
        <v>457</v>
      </c>
      <c r="B5" s="2" t="s">
        <v>108</v>
      </c>
      <c r="C5" s="2" t="s">
        <v>456</v>
      </c>
      <c r="D5" s="2" t="n">
        <v>11</v>
      </c>
      <c r="E5" s="2" t="n">
        <v>5</v>
      </c>
      <c r="F5" s="2" t="n">
        <v>20</v>
      </c>
      <c r="G5" s="2" t="n">
        <v>11</v>
      </c>
      <c r="H5" s="7" t="n">
        <v>1.14392169928472</v>
      </c>
      <c r="I5" s="7" t="n">
        <v>2.06178389763884</v>
      </c>
      <c r="J5" s="7" t="n">
        <v>0.870801657152947</v>
      </c>
      <c r="K5" s="7" t="n">
        <v>0.593544268875382</v>
      </c>
      <c r="L5" s="7" t="n">
        <v>1.24656132541156</v>
      </c>
    </row>
    <row r="6" customFormat="false" ht="15" hidden="false" customHeight="false" outlineLevel="0" collapsed="false">
      <c r="A6" s="2" t="s">
        <v>458</v>
      </c>
      <c r="B6" s="2" t="s">
        <v>71</v>
      </c>
      <c r="C6" s="2" t="s">
        <v>456</v>
      </c>
      <c r="D6" s="2" t="n">
        <v>14</v>
      </c>
      <c r="E6" s="2" t="n">
        <v>2</v>
      </c>
      <c r="F6" s="2" t="n">
        <v>29</v>
      </c>
      <c r="G6" s="2" t="n">
        <v>2</v>
      </c>
      <c r="H6" s="7" t="n">
        <v>1.25783227935434</v>
      </c>
      <c r="I6" s="7" t="n">
        <v>2.56701466335352</v>
      </c>
      <c r="J6" s="7" t="n">
        <v>0.766006523744173</v>
      </c>
      <c r="K6" s="7" t="n">
        <v>0.551571552362626</v>
      </c>
      <c r="L6" s="7" t="n">
        <v>1.06431337639287</v>
      </c>
    </row>
    <row r="7" customFormat="false" ht="15" hidden="false" customHeight="false" outlineLevel="0" collapsed="false">
      <c r="A7" s="2" t="s">
        <v>459</v>
      </c>
      <c r="B7" s="2" t="s">
        <v>214</v>
      </c>
      <c r="C7" s="2" t="s">
        <v>456</v>
      </c>
      <c r="D7" s="2" t="n">
        <v>8</v>
      </c>
      <c r="E7" s="2" t="n">
        <v>8</v>
      </c>
      <c r="F7" s="2" t="n">
        <v>18</v>
      </c>
      <c r="G7" s="2" t="n">
        <v>13</v>
      </c>
      <c r="H7" s="7" t="n">
        <v>1.03918841843029</v>
      </c>
      <c r="I7" s="7" t="n">
        <v>1.81971165581375</v>
      </c>
      <c r="J7" s="7" t="n">
        <v>0.741092965512385</v>
      </c>
      <c r="K7" s="7" t="n">
        <v>0.570405548010054</v>
      </c>
      <c r="L7" s="7" t="n">
        <v>0.962922048220127</v>
      </c>
    </row>
    <row r="8" customFormat="false" ht="15" hidden="false" customHeight="false" outlineLevel="0" collapsed="false">
      <c r="A8" s="2" t="s">
        <v>460</v>
      </c>
      <c r="B8" s="2" t="s">
        <v>111</v>
      </c>
      <c r="C8" s="2" t="s">
        <v>456</v>
      </c>
      <c r="D8" s="2" t="n">
        <v>5</v>
      </c>
      <c r="E8" s="2" t="n">
        <v>11</v>
      </c>
      <c r="F8" s="2" t="n">
        <v>11</v>
      </c>
      <c r="G8" s="2" t="n">
        <v>20</v>
      </c>
      <c r="H8" s="7" t="n">
        <v>1.11163164899055</v>
      </c>
      <c r="I8" s="7" t="n">
        <v>1.51475631331829</v>
      </c>
      <c r="J8" s="7" t="n">
        <v>1.14035600755229</v>
      </c>
      <c r="K8" s="7" t="n">
        <v>0.859841962906381</v>
      </c>
      <c r="L8" s="7" t="n">
        <v>1.50701135893751</v>
      </c>
    </row>
    <row r="9" customFormat="false" ht="15" hidden="false" customHeight="false" outlineLevel="0" collapsed="false">
      <c r="A9" s="2" t="s">
        <v>461</v>
      </c>
      <c r="B9" s="2" t="s">
        <v>113</v>
      </c>
      <c r="C9" s="2" t="s">
        <v>456</v>
      </c>
      <c r="D9" s="2" t="n">
        <v>4</v>
      </c>
      <c r="E9" s="2" t="n">
        <v>12</v>
      </c>
      <c r="F9" s="2" t="n">
        <v>8</v>
      </c>
      <c r="G9" s="2" t="n">
        <v>23</v>
      </c>
      <c r="H9" s="7" t="n">
        <v>1.40715657930482</v>
      </c>
      <c r="I9" s="7" t="n">
        <v>1.3646368922284</v>
      </c>
      <c r="J9" s="7" t="n">
        <v>0.876581543963231</v>
      </c>
      <c r="K9" s="7" t="n">
        <v>0.693292032337606</v>
      </c>
      <c r="L9" s="7" t="n">
        <v>1.10538358635325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2" style="0" width="16"/>
  </cols>
  <sheetData>
    <row r="1" customFormat="false" ht="15" hidden="false" customHeight="false" outlineLevel="0" collapsed="false">
      <c r="A1" s="4" t="s">
        <v>462</v>
      </c>
    </row>
    <row r="3" customFormat="false" ht="26.85" hidden="false" customHeight="false" outlineLevel="0" collapsed="false">
      <c r="A3" s="5" t="s">
        <v>416</v>
      </c>
      <c r="B3" s="5" t="s">
        <v>427</v>
      </c>
      <c r="C3" s="5" t="s">
        <v>418</v>
      </c>
      <c r="D3" s="5" t="s">
        <v>428</v>
      </c>
      <c r="E3" s="5" t="s">
        <v>429</v>
      </c>
      <c r="F3" s="5" t="s">
        <v>430</v>
      </c>
      <c r="G3" s="5" t="s">
        <v>431</v>
      </c>
      <c r="H3" s="5" t="s">
        <v>432</v>
      </c>
      <c r="I3" s="5" t="s">
        <v>433</v>
      </c>
      <c r="J3" s="5" t="s">
        <v>434</v>
      </c>
      <c r="K3" s="5" t="s">
        <v>435</v>
      </c>
      <c r="L3" s="5" t="s">
        <v>436</v>
      </c>
      <c r="M3" s="5" t="s">
        <v>437</v>
      </c>
    </row>
    <row r="4" customFormat="false" ht="15" hidden="false" customHeight="false" outlineLevel="0" collapsed="false">
      <c r="A4" s="2" t="s">
        <v>463</v>
      </c>
      <c r="B4" s="2" t="n">
        <v>16</v>
      </c>
      <c r="C4" s="2" t="n">
        <v>31</v>
      </c>
      <c r="D4" s="7" t="n">
        <v>0.318559049640112</v>
      </c>
      <c r="E4" s="7" t="n">
        <v>1.37514482059318</v>
      </c>
      <c r="F4" s="7" t="n">
        <v>41.9354838709677</v>
      </c>
      <c r="G4" s="7" t="n">
        <v>1.02436092629465</v>
      </c>
      <c r="H4" s="7" t="n">
        <v>1.8769979224208</v>
      </c>
      <c r="I4" s="7" t="n">
        <v>0.98400916683051</v>
      </c>
      <c r="J4" s="7" t="n">
        <v>1.92175372074554</v>
      </c>
      <c r="K4" s="7" t="n">
        <v>0.628077950849788</v>
      </c>
      <c r="L4" s="7" t="n">
        <v>0.345985540521573</v>
      </c>
      <c r="M4" s="7" t="n">
        <v>5.46561360556725</v>
      </c>
      <c r="N4" s="9"/>
    </row>
    <row r="5" customFormat="false" ht="15" hidden="false" customHeight="false" outlineLevel="0" collapsed="false">
      <c r="A5" s="2" t="s">
        <v>464</v>
      </c>
      <c r="B5" s="2" t="n">
        <v>20</v>
      </c>
      <c r="C5" s="2" t="n">
        <v>38</v>
      </c>
      <c r="D5" s="7" t="n">
        <v>0.457521721562908</v>
      </c>
      <c r="E5" s="7" t="n">
        <v>1.5801530691621</v>
      </c>
      <c r="F5" s="7" t="n">
        <v>39.4736842105263</v>
      </c>
      <c r="G5" s="7" t="n">
        <v>1.10885058710724</v>
      </c>
      <c r="H5" s="7" t="n">
        <v>2.38758544135379</v>
      </c>
      <c r="I5" s="7" t="n">
        <v>1.03478440787371</v>
      </c>
      <c r="J5" s="7" t="n">
        <v>2.41295066197707</v>
      </c>
      <c r="K5" s="7" t="n">
        <v>0.904520485497265</v>
      </c>
      <c r="L5" s="7" t="n">
        <v>0.227088898506483</v>
      </c>
      <c r="M5" s="7" t="n">
        <v>10.9951817918177</v>
      </c>
      <c r="N5" s="9"/>
    </row>
    <row r="6" customFormat="false" ht="15" hidden="false" customHeight="false" outlineLevel="0" collapsed="false">
      <c r="A6" s="2" t="s">
        <v>465</v>
      </c>
      <c r="B6" s="2" t="n">
        <v>8</v>
      </c>
      <c r="C6" s="2" t="n">
        <v>13</v>
      </c>
      <c r="D6" s="7" t="n">
        <v>0.598678057665641</v>
      </c>
      <c r="E6" s="7" t="n">
        <v>1.81971165581375</v>
      </c>
      <c r="F6" s="7" t="n">
        <v>30.7692307692308</v>
      </c>
      <c r="G6" s="7" t="n">
        <v>1.16008991189899</v>
      </c>
      <c r="H6" s="7" t="n">
        <v>2.83403772561536</v>
      </c>
      <c r="I6" s="7" t="n">
        <v>1.01714021616809</v>
      </c>
      <c r="J6" s="7" t="n">
        <v>3.25554968495829</v>
      </c>
      <c r="K6" s="7" t="n">
        <v>0.695775742825298</v>
      </c>
      <c r="L6" s="7" t="n">
        <v>0.317787875923544</v>
      </c>
      <c r="M6" s="7" t="n">
        <v>10.4200026532827</v>
      </c>
      <c r="N6" s="9"/>
    </row>
    <row r="7" customFormat="false" ht="15" hidden="false" customHeight="false" outlineLevel="0" collapsed="false">
      <c r="A7" s="2" t="s">
        <v>466</v>
      </c>
      <c r="B7" s="2" t="n">
        <v>8</v>
      </c>
      <c r="C7" s="2" t="n">
        <v>18</v>
      </c>
      <c r="D7" s="7" t="n">
        <v>0.0384400416145827</v>
      </c>
      <c r="E7" s="7" t="n">
        <v>1.03918841843029</v>
      </c>
      <c r="F7" s="7" t="n">
        <v>50</v>
      </c>
      <c r="G7" s="7" t="n">
        <v>0.792732584775094</v>
      </c>
      <c r="H7" s="7" t="n">
        <v>1.37910135425035</v>
      </c>
      <c r="I7" s="7" t="n">
        <v>0.72754198926529</v>
      </c>
      <c r="J7" s="7" t="n">
        <v>1.48433023101553</v>
      </c>
      <c r="K7" s="7" t="n">
        <v>0.426452971198977</v>
      </c>
      <c r="L7" s="7" t="n">
        <v>0.356603493672669</v>
      </c>
      <c r="M7" s="7" t="n">
        <v>3.0283286287456</v>
      </c>
      <c r="N7" s="9"/>
    </row>
    <row r="8" customFormat="false" ht="15" hidden="false" customHeight="false" outlineLevel="0" collapsed="false">
      <c r="A8" s="2" t="s">
        <v>467</v>
      </c>
      <c r="B8" s="2" t="n">
        <v>8</v>
      </c>
      <c r="C8" s="2" t="n">
        <v>16</v>
      </c>
      <c r="D8" s="7" t="n">
        <v>0.429731106579178</v>
      </c>
      <c r="E8" s="7" t="n">
        <v>1.53684422068379</v>
      </c>
      <c r="F8" s="7" t="n">
        <v>25</v>
      </c>
      <c r="G8" s="7" t="n">
        <v>1.01766702592909</v>
      </c>
      <c r="H8" s="7" t="n">
        <v>2.41531491528062</v>
      </c>
      <c r="I8" s="7" t="n">
        <v>0.878431980759609</v>
      </c>
      <c r="J8" s="7" t="n">
        <v>2.68875702431367</v>
      </c>
      <c r="K8" s="7" t="n">
        <v>0.669059700575243</v>
      </c>
      <c r="L8" s="7" t="n">
        <v>0.286988648599893</v>
      </c>
      <c r="M8" s="7" t="n">
        <v>8.22990794295146</v>
      </c>
      <c r="N8" s="9"/>
    </row>
    <row r="9" customFormat="false" ht="15" hidden="false" customHeight="false" outlineLevel="0" collapsed="false">
      <c r="A9" s="2" t="s">
        <v>468</v>
      </c>
      <c r="B9" s="2" t="n">
        <v>11</v>
      </c>
      <c r="C9" s="2" t="n">
        <v>20</v>
      </c>
      <c r="D9" s="7" t="n">
        <v>0.415254576728842</v>
      </c>
      <c r="E9" s="7" t="n">
        <v>1.51475631331829</v>
      </c>
      <c r="F9" s="7" t="n">
        <v>25</v>
      </c>
      <c r="G9" s="7" t="n">
        <v>1.11678899387744</v>
      </c>
      <c r="H9" s="7" t="n">
        <v>2.12027849961245</v>
      </c>
      <c r="I9" s="7" t="n">
        <v>1.03417264522316</v>
      </c>
      <c r="J9" s="7" t="n">
        <v>2.21866890343295</v>
      </c>
      <c r="K9" s="7" t="n">
        <v>0.568097131896119</v>
      </c>
      <c r="L9" s="7" t="n">
        <v>0.403802385905424</v>
      </c>
      <c r="M9" s="7" t="n">
        <v>5.68220191070151</v>
      </c>
      <c r="N9" s="9"/>
    </row>
    <row r="10" customFormat="false" ht="15" hidden="false" customHeight="false" outlineLevel="0" collapsed="false">
      <c r="A10" s="2" t="s">
        <v>469</v>
      </c>
      <c r="B10" s="2" t="n">
        <v>5</v>
      </c>
      <c r="C10" s="2" t="n">
        <v>11</v>
      </c>
      <c r="D10" s="7" t="n">
        <v>0.105828890044907</v>
      </c>
      <c r="E10" s="7" t="n">
        <v>1.11163164899055</v>
      </c>
      <c r="F10" s="7" t="n">
        <v>72.7272727272727</v>
      </c>
      <c r="G10" s="7" t="n">
        <v>0.668594681513408</v>
      </c>
      <c r="H10" s="7" t="n">
        <v>2.17616056228791</v>
      </c>
      <c r="I10" s="7" t="n">
        <v>0.428242460439409</v>
      </c>
      <c r="J10" s="7" t="n">
        <v>2.88557309746795</v>
      </c>
      <c r="K10" s="7" t="n">
        <v>0.768238942958733</v>
      </c>
      <c r="L10" s="7" t="n">
        <v>0.107450367018769</v>
      </c>
      <c r="M10" s="7" t="n">
        <v>11.5004253342531</v>
      </c>
      <c r="N10" s="9"/>
    </row>
    <row r="11" customFormat="false" ht="15" hidden="false" customHeight="false" outlineLevel="0" collapsed="false">
      <c r="A11" s="2" t="s">
        <v>470</v>
      </c>
      <c r="B11" s="2" t="n">
        <v>11</v>
      </c>
      <c r="C11" s="2" t="n">
        <v>20</v>
      </c>
      <c r="D11" s="7" t="n">
        <v>0.134462445933971</v>
      </c>
      <c r="E11" s="7" t="n">
        <v>1.14392169928472</v>
      </c>
      <c r="F11" s="7" t="n">
        <v>55</v>
      </c>
      <c r="G11" s="7" t="n">
        <v>0.845353853459686</v>
      </c>
      <c r="H11" s="7" t="n">
        <v>1.60129239221625</v>
      </c>
      <c r="I11" s="7" t="n">
        <v>0.781926193307873</v>
      </c>
      <c r="J11" s="7" t="n">
        <v>1.67350430935009</v>
      </c>
      <c r="K11" s="7" t="n">
        <v>0.566317645101772</v>
      </c>
      <c r="L11" s="7" t="n">
        <v>0.306211099665668</v>
      </c>
      <c r="M11" s="7" t="n">
        <v>4.27338151857709</v>
      </c>
      <c r="N11" s="9"/>
    </row>
    <row r="12" customFormat="false" ht="15" hidden="false" customHeight="false" outlineLevel="0" collapsed="false">
      <c r="A12" s="2" t="s">
        <v>471</v>
      </c>
      <c r="B12" s="2" t="n">
        <v>14</v>
      </c>
      <c r="C12" s="2" t="n">
        <v>29</v>
      </c>
      <c r="D12" s="7" t="n">
        <v>0.229389826142169</v>
      </c>
      <c r="E12" s="7" t="n">
        <v>1.25783227935434</v>
      </c>
      <c r="F12" s="7" t="n">
        <v>44.8275862068966</v>
      </c>
      <c r="G12" s="7" t="n">
        <v>0.944887967620152</v>
      </c>
      <c r="H12" s="7" t="n">
        <v>1.73553046281859</v>
      </c>
      <c r="I12" s="7" t="n">
        <v>0.888900928309834</v>
      </c>
      <c r="J12" s="7" t="n">
        <v>1.77988569096674</v>
      </c>
      <c r="K12" s="7" t="n">
        <v>0.601263687556987</v>
      </c>
      <c r="L12" s="7" t="n">
        <v>0.327865298852603</v>
      </c>
      <c r="M12" s="7" t="n">
        <v>4.82558553321314</v>
      </c>
      <c r="N12" s="9"/>
    </row>
    <row r="13" customFormat="false" ht="15" hidden="false" customHeight="false" outlineLevel="0" collapsed="false">
      <c r="A13" s="2" t="s">
        <v>472</v>
      </c>
      <c r="B13" s="2" t="n">
        <v>11</v>
      </c>
      <c r="C13" s="2" t="n">
        <v>25</v>
      </c>
      <c r="D13" s="7" t="n">
        <v>0.217735043492707</v>
      </c>
      <c r="E13" s="7" t="n">
        <v>1.24325761478038</v>
      </c>
      <c r="F13" s="7" t="n">
        <v>40</v>
      </c>
      <c r="G13" s="7" t="n">
        <v>0.968833825440582</v>
      </c>
      <c r="H13" s="7" t="n">
        <v>1.56811864553309</v>
      </c>
      <c r="I13" s="7" t="n">
        <v>0.933455362952187</v>
      </c>
      <c r="J13" s="7" t="n">
        <v>1.65587938969135</v>
      </c>
      <c r="K13" s="7" t="n">
        <v>0.426605057810848</v>
      </c>
      <c r="L13" s="7" t="n">
        <v>0.460673052160372</v>
      </c>
      <c r="M13" s="7" t="n">
        <v>3.35528524939917</v>
      </c>
      <c r="N13" s="9"/>
    </row>
    <row r="14" customFormat="false" ht="15" hidden="false" customHeight="false" outlineLevel="0" collapsed="false">
      <c r="A14" s="2" t="s">
        <v>473</v>
      </c>
      <c r="B14" s="2" t="n">
        <v>5</v>
      </c>
      <c r="C14" s="2" t="n">
        <v>6</v>
      </c>
      <c r="D14" s="7" t="n">
        <v>0.540371863164403</v>
      </c>
      <c r="E14" s="7" t="n">
        <v>1.71664510058809</v>
      </c>
      <c r="F14" s="7" t="n">
        <v>50</v>
      </c>
      <c r="G14" s="7" t="n">
        <v>0.797184397703405</v>
      </c>
      <c r="H14" s="7" t="n">
        <v>3.69659818965685</v>
      </c>
      <c r="I14" s="7" t="n">
        <v>0.516759642907871</v>
      </c>
      <c r="J14" s="7" t="n">
        <v>5.70259392701543</v>
      </c>
      <c r="K14" s="7" t="n">
        <v>0.966887406587178</v>
      </c>
      <c r="L14" s="7" t="n">
        <v>0.0906851835898851</v>
      </c>
      <c r="M14" s="7" t="n">
        <v>32.4956104703942</v>
      </c>
      <c r="N14" s="9"/>
    </row>
    <row r="15" customFormat="false" ht="15" hidden="false" customHeight="false" outlineLevel="0" collapsed="false">
      <c r="A15" s="2" t="s">
        <v>474</v>
      </c>
      <c r="B15" s="2" t="n">
        <v>13</v>
      </c>
      <c r="C15" s="2" t="n">
        <v>20</v>
      </c>
      <c r="D15" s="7" t="n">
        <v>-0.0420697485530844</v>
      </c>
      <c r="E15" s="7" t="n">
        <v>0.958802903125023</v>
      </c>
      <c r="F15" s="7" t="n">
        <v>65</v>
      </c>
      <c r="G15" s="7" t="n">
        <v>0.71436343474893</v>
      </c>
      <c r="H15" s="7" t="n">
        <v>1.34626290282395</v>
      </c>
      <c r="I15" s="7" t="n">
        <v>0.668237414343161</v>
      </c>
      <c r="J15" s="7" t="n">
        <v>1.37571316317958</v>
      </c>
      <c r="K15" s="7" t="n">
        <v>0.597460901439454</v>
      </c>
      <c r="L15" s="7" t="n">
        <v>0.248337828089543</v>
      </c>
      <c r="M15" s="7" t="n">
        <v>3.70182430165049</v>
      </c>
      <c r="N15" s="9"/>
    </row>
    <row r="18" customFormat="false" ht="15" hidden="false" customHeight="false" outlineLevel="0" collapsed="false">
      <c r="A18" s="8" t="s">
        <v>475</v>
      </c>
      <c r="B18" s="8" t="s">
        <v>26</v>
      </c>
      <c r="C18" s="8" t="s">
        <v>429</v>
      </c>
    </row>
    <row r="19" customFormat="false" ht="15" hidden="false" customHeight="false" outlineLevel="0" collapsed="false">
      <c r="A19" s="2" t="s">
        <v>57</v>
      </c>
      <c r="B19" s="2" t="s">
        <v>58</v>
      </c>
      <c r="C19" s="7" t="n">
        <v>1.33319890252282</v>
      </c>
    </row>
    <row r="20" customFormat="false" ht="15" hidden="false" customHeight="false" outlineLevel="0" collapsed="false">
      <c r="A20" s="2" t="s">
        <v>84</v>
      </c>
      <c r="B20" s="2" t="s">
        <v>85</v>
      </c>
      <c r="C20" s="7" t="n">
        <v>1.35255280605054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7" t="n">
        <v>1.28401438663794</v>
      </c>
    </row>
    <row r="22" customFormat="false" ht="15" hidden="false" customHeight="false" outlineLevel="0" collapsed="false">
      <c r="A22" s="2" t="s">
        <v>117</v>
      </c>
      <c r="B22" s="2" t="s">
        <v>118</v>
      </c>
      <c r="C22" s="7" t="n">
        <v>1.2581547759636</v>
      </c>
    </row>
    <row r="23" customFormat="false" ht="15" hidden="false" customHeight="false" outlineLevel="0" collapsed="false">
      <c r="A23" s="2" t="s">
        <v>128</v>
      </c>
      <c r="B23" s="2" t="s">
        <v>129</v>
      </c>
      <c r="C23" s="7" t="n">
        <v>1.45290945417971</v>
      </c>
    </row>
    <row r="24" customFormat="false" ht="15" hidden="false" customHeight="false" outlineLevel="0" collapsed="false">
      <c r="A24" s="2" t="s">
        <v>183</v>
      </c>
      <c r="B24" s="2" t="s">
        <v>184</v>
      </c>
      <c r="C24" s="7" t="n">
        <v>1.36088513360947</v>
      </c>
    </row>
    <row r="25" customFormat="false" ht="15" hidden="false" customHeight="false" outlineLevel="0" collapsed="false">
      <c r="A25" s="2" t="s">
        <v>223</v>
      </c>
      <c r="B25" s="2" t="s">
        <v>224</v>
      </c>
      <c r="C25" s="7" t="n">
        <v>1.3422030857437</v>
      </c>
    </row>
    <row r="26" customFormat="false" ht="15" hidden="false" customHeight="false" outlineLevel="0" collapsed="false">
      <c r="A26" s="2" t="s">
        <v>268</v>
      </c>
      <c r="B26" s="2" t="s">
        <v>269</v>
      </c>
      <c r="C26" s="7" t="n">
        <v>1.41094192291783</v>
      </c>
    </row>
    <row r="27" customFormat="false" ht="15" hidden="false" customHeight="false" outlineLevel="0" collapsed="false">
      <c r="A27" s="2" t="s">
        <v>279</v>
      </c>
      <c r="B27" s="2" t="s">
        <v>280</v>
      </c>
      <c r="C27" s="7" t="n">
        <v>1.371975855723</v>
      </c>
    </row>
    <row r="28" customFormat="false" ht="15" hidden="false" customHeight="false" outlineLevel="0" collapsed="false">
      <c r="A28" s="2" t="s">
        <v>302</v>
      </c>
      <c r="B28" s="2" t="s">
        <v>303</v>
      </c>
      <c r="C28" s="7" t="n">
        <v>1.36301774272746</v>
      </c>
    </row>
    <row r="29" customFormat="false" ht="15" hidden="false" customHeight="false" outlineLevel="0" collapsed="false">
      <c r="A29" s="2" t="s">
        <v>317</v>
      </c>
      <c r="B29" s="2" t="s">
        <v>318</v>
      </c>
      <c r="C29" s="7" t="n">
        <v>1.42288658569776</v>
      </c>
    </row>
    <row r="30" customFormat="false" ht="15" hidden="false" customHeight="false" outlineLevel="0" collapsed="false">
      <c r="A30" s="2" t="s">
        <v>326</v>
      </c>
      <c r="B30" s="2" t="s">
        <v>327</v>
      </c>
      <c r="C30" s="7" t="n">
        <v>1.44855516916159</v>
      </c>
    </row>
    <row r="31" customFormat="false" ht="15" hidden="false" customHeight="false" outlineLevel="0" collapsed="false">
      <c r="A31" s="2" t="s">
        <v>333</v>
      </c>
      <c r="B31" s="2" t="s">
        <v>334</v>
      </c>
      <c r="C31" s="7" t="n">
        <v>1.39160200969273</v>
      </c>
    </row>
    <row r="32" customFormat="false" ht="15" hidden="false" customHeight="false" outlineLevel="0" collapsed="false">
      <c r="A32" s="2" t="s">
        <v>347</v>
      </c>
      <c r="B32" s="2" t="s">
        <v>348</v>
      </c>
      <c r="C32" s="7" t="n">
        <v>1.43640575718249</v>
      </c>
    </row>
    <row r="33" customFormat="false" ht="15" hidden="false" customHeight="false" outlineLevel="0" collapsed="false">
      <c r="A33" s="2" t="s">
        <v>359</v>
      </c>
      <c r="B33" s="2" t="s">
        <v>360</v>
      </c>
      <c r="C33" s="7" t="n">
        <v>1.35513635590178</v>
      </c>
    </row>
    <row r="34" customFormat="false" ht="15" hidden="false" customHeight="false" outlineLevel="0" collapsed="false">
      <c r="A34" s="2" t="s">
        <v>160</v>
      </c>
      <c r="B34" s="2" t="s">
        <v>161</v>
      </c>
      <c r="C34" s="7" t="n">
        <v>1.43583979747978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50"/>
  </cols>
  <sheetData>
    <row r="1" customFormat="false" ht="15" hidden="false" customHeight="false" outlineLevel="0" collapsed="false">
      <c r="A1" s="4" t="s">
        <v>476</v>
      </c>
    </row>
    <row r="3" customFormat="false" ht="15" hidden="false" customHeight="false" outlineLevel="0" collapsed="false">
      <c r="A3" s="5" t="s">
        <v>477</v>
      </c>
      <c r="B3" s="5" t="s">
        <v>478</v>
      </c>
      <c r="C3" s="5" t="s">
        <v>479</v>
      </c>
    </row>
    <row r="4" customFormat="false" ht="15" hidden="false" customHeight="false" outlineLevel="0" collapsed="false">
      <c r="A4" s="2" t="s">
        <v>480</v>
      </c>
      <c r="B4" s="2" t="n">
        <v>90</v>
      </c>
      <c r="C4" s="2" t="s">
        <v>481</v>
      </c>
    </row>
    <row r="5" customFormat="false" ht="15" hidden="false" customHeight="false" outlineLevel="0" collapsed="false">
      <c r="A5" s="2" t="s">
        <v>482</v>
      </c>
      <c r="B5" s="2" t="n">
        <v>82</v>
      </c>
      <c r="C5" s="2" t="s">
        <v>483</v>
      </c>
    </row>
    <row r="6" customFormat="false" ht="15" hidden="false" customHeight="false" outlineLevel="0" collapsed="false">
      <c r="A6" s="2" t="s">
        <v>484</v>
      </c>
      <c r="B6" s="2" t="n">
        <v>8</v>
      </c>
      <c r="C6" s="2" t="s">
        <v>485</v>
      </c>
    </row>
    <row r="7" customFormat="false" ht="15" hidden="false" customHeight="false" outlineLevel="0" collapsed="false">
      <c r="A7" s="2" t="s">
        <v>486</v>
      </c>
      <c r="B7" s="2" t="n">
        <v>38</v>
      </c>
      <c r="C7" s="2" t="s">
        <v>487</v>
      </c>
    </row>
    <row r="8" customFormat="false" ht="15" hidden="false" customHeight="false" outlineLevel="0" collapsed="false">
      <c r="A8" s="2" t="s">
        <v>488</v>
      </c>
      <c r="B8" s="2" t="n">
        <v>52</v>
      </c>
      <c r="C8" s="2" t="s">
        <v>489</v>
      </c>
    </row>
    <row r="9" customFormat="false" ht="15" hidden="false" customHeight="false" outlineLevel="0" collapsed="false">
      <c r="A9" s="2" t="s">
        <v>490</v>
      </c>
      <c r="B9" s="2" t="n">
        <v>8</v>
      </c>
      <c r="C9" s="2" t="s">
        <v>491</v>
      </c>
    </row>
    <row r="10" customFormat="false" ht="15" hidden="false" customHeight="false" outlineLevel="0" collapsed="false">
      <c r="A10" s="2" t="s">
        <v>492</v>
      </c>
      <c r="B10" s="2" t="n">
        <v>20</v>
      </c>
      <c r="C10" s="2" t="s">
        <v>493</v>
      </c>
    </row>
    <row r="11" customFormat="false" ht="15" hidden="false" customHeight="false" outlineLevel="0" collapsed="false">
      <c r="A11" s="2" t="s">
        <v>494</v>
      </c>
      <c r="B11" s="2" t="n">
        <v>24</v>
      </c>
      <c r="C11" s="2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6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5" t="s">
        <v>496</v>
      </c>
      <c r="B1" s="5" t="s">
        <v>497</v>
      </c>
      <c r="C1" s="5" t="s">
        <v>498</v>
      </c>
      <c r="D1" s="5" t="s">
        <v>499</v>
      </c>
      <c r="E1" s="5" t="s">
        <v>500</v>
      </c>
      <c r="F1" s="5" t="s">
        <v>40</v>
      </c>
      <c r="G1" s="5" t="s">
        <v>501</v>
      </c>
      <c r="H1" s="5" t="s">
        <v>502</v>
      </c>
    </row>
    <row r="2" customFormat="false" ht="15" hidden="false" customHeight="false" outlineLevel="0" collapsed="false">
      <c r="A2" s="2" t="s">
        <v>503</v>
      </c>
      <c r="B2" s="2" t="s">
        <v>504</v>
      </c>
      <c r="C2" s="6" t="n">
        <v>15.1</v>
      </c>
      <c r="D2" s="6" t="n">
        <v>15.1</v>
      </c>
      <c r="E2" s="6" t="n">
        <v>19.6</v>
      </c>
      <c r="F2" s="2" t="s">
        <v>505</v>
      </c>
      <c r="G2" s="2" t="s">
        <v>506</v>
      </c>
      <c r="H2" s="2" t="s">
        <v>507</v>
      </c>
    </row>
    <row r="3" customFormat="false" ht="15" hidden="false" customHeight="false" outlineLevel="0" collapsed="false">
      <c r="A3" s="2" t="s">
        <v>508</v>
      </c>
      <c r="B3" s="2" t="s">
        <v>509</v>
      </c>
      <c r="C3" s="6" t="n">
        <v>0.52</v>
      </c>
      <c r="D3" s="6" t="n">
        <v>0.52</v>
      </c>
      <c r="E3" s="6" t="n">
        <v>1</v>
      </c>
      <c r="F3" s="2" t="s">
        <v>505</v>
      </c>
      <c r="G3" s="2" t="s">
        <v>510</v>
      </c>
      <c r="H3" s="2" t="s">
        <v>511</v>
      </c>
    </row>
    <row r="4" customFormat="false" ht="15" hidden="false" customHeight="false" outlineLevel="0" collapsed="false">
      <c r="A4" s="2" t="s">
        <v>512</v>
      </c>
      <c r="B4" s="2" t="s">
        <v>513</v>
      </c>
      <c r="C4" s="6" t="n">
        <v>0.9</v>
      </c>
      <c r="D4" s="6" t="n">
        <v>0.98</v>
      </c>
      <c r="E4" s="6" t="n">
        <v>0.98</v>
      </c>
      <c r="F4" s="2" t="s">
        <v>514</v>
      </c>
      <c r="G4" s="2" t="s">
        <v>506</v>
      </c>
      <c r="H4" s="2" t="s">
        <v>515</v>
      </c>
    </row>
    <row r="5" customFormat="false" ht="15" hidden="false" customHeight="false" outlineLevel="0" collapsed="false">
      <c r="A5" s="2" t="s">
        <v>516</v>
      </c>
      <c r="B5" s="2" t="s">
        <v>517</v>
      </c>
      <c r="C5" s="6" t="n">
        <v>0.5</v>
      </c>
      <c r="D5" s="6" t="n">
        <v>1</v>
      </c>
      <c r="E5" s="6" t="n">
        <v>2</v>
      </c>
      <c r="F5" s="2" t="s">
        <v>505</v>
      </c>
      <c r="G5" s="2" t="s">
        <v>518</v>
      </c>
      <c r="H5" s="2" t="s">
        <v>519</v>
      </c>
    </row>
    <row r="6" customFormat="false" ht="15" hidden="false" customHeight="false" outlineLevel="0" collapsed="false">
      <c r="A6" s="2" t="s">
        <v>520</v>
      </c>
      <c r="B6" s="2" t="s">
        <v>521</v>
      </c>
      <c r="C6" s="6" t="n">
        <v>1</v>
      </c>
      <c r="D6" s="6" t="n">
        <v>1.1</v>
      </c>
      <c r="E6" s="6" t="n">
        <v>1.5</v>
      </c>
      <c r="F6" s="2" t="s">
        <v>505</v>
      </c>
      <c r="G6" s="2" t="s">
        <v>522</v>
      </c>
      <c r="H6" s="2" t="s">
        <v>523</v>
      </c>
    </row>
    <row r="7" customFormat="false" ht="15" hidden="false" customHeight="false" outlineLevel="0" collapsed="false">
      <c r="A7" s="2" t="s">
        <v>524</v>
      </c>
      <c r="B7" s="2" t="s">
        <v>525</v>
      </c>
      <c r="C7" s="6" t="n">
        <v>0.58</v>
      </c>
      <c r="D7" s="6" t="n">
        <v>0.58</v>
      </c>
      <c r="E7" s="6" t="n">
        <v>0.67</v>
      </c>
      <c r="F7" s="2" t="s">
        <v>505</v>
      </c>
      <c r="G7" s="2" t="s">
        <v>506</v>
      </c>
      <c r="H7" s="2" t="s">
        <v>526</v>
      </c>
    </row>
    <row r="8" customFormat="false" ht="15" hidden="false" customHeight="false" outlineLevel="0" collapsed="false">
      <c r="A8" s="2" t="s">
        <v>527</v>
      </c>
      <c r="B8" s="2" t="s">
        <v>528</v>
      </c>
      <c r="C8" s="6" t="n">
        <v>0.9</v>
      </c>
      <c r="D8" s="6" t="n">
        <v>0.9</v>
      </c>
      <c r="E8" s="6" t="n">
        <v>0.9</v>
      </c>
      <c r="F8" s="2" t="s">
        <v>514</v>
      </c>
      <c r="G8" s="2" t="s">
        <v>506</v>
      </c>
      <c r="H8" s="2" t="s">
        <v>529</v>
      </c>
    </row>
    <row r="9" customFormat="false" ht="15" hidden="false" customHeight="false" outlineLevel="0" collapsed="false">
      <c r="A9" s="2" t="s">
        <v>530</v>
      </c>
      <c r="B9" s="2" t="s">
        <v>531</v>
      </c>
      <c r="C9" s="6" t="n">
        <v>2.2</v>
      </c>
      <c r="D9" s="6" t="n">
        <v>2.8</v>
      </c>
      <c r="E9" s="6" t="n">
        <v>3.4</v>
      </c>
      <c r="F9" s="2" t="s">
        <v>505</v>
      </c>
      <c r="G9" s="2" t="s">
        <v>532</v>
      </c>
      <c r="H9" s="2" t="s">
        <v>533</v>
      </c>
    </row>
    <row r="10" customFormat="false" ht="15" hidden="false" customHeight="false" outlineLevel="0" collapsed="false">
      <c r="A10" s="2" t="s">
        <v>534</v>
      </c>
      <c r="B10" s="2" t="s">
        <v>535</v>
      </c>
      <c r="C10" s="6" t="n">
        <v>1</v>
      </c>
      <c r="D10" s="6" t="n">
        <v>1.4</v>
      </c>
      <c r="E10" s="6" t="n">
        <v>1.8</v>
      </c>
      <c r="F10" s="2" t="s">
        <v>505</v>
      </c>
      <c r="G10" s="2" t="s">
        <v>536</v>
      </c>
      <c r="H10" s="2" t="s">
        <v>537</v>
      </c>
    </row>
    <row r="11" customFormat="false" ht="15" hidden="false" customHeight="false" outlineLevel="0" collapsed="false">
      <c r="A11" s="2" t="s">
        <v>538</v>
      </c>
      <c r="B11" s="2" t="s">
        <v>539</v>
      </c>
      <c r="C11" s="6" t="n">
        <v>0.85</v>
      </c>
      <c r="D11" s="6" t="n">
        <v>0.85</v>
      </c>
      <c r="E11" s="6" t="n">
        <v>0.85</v>
      </c>
      <c r="F11" s="2" t="s">
        <v>514</v>
      </c>
      <c r="G11" s="2" t="s">
        <v>506</v>
      </c>
      <c r="H11" s="2" t="s">
        <v>529</v>
      </c>
    </row>
    <row r="12" customFormat="false" ht="15" hidden="false" customHeight="false" outlineLevel="0" collapsed="false">
      <c r="A12" s="2" t="s">
        <v>540</v>
      </c>
      <c r="B12" s="2" t="s">
        <v>541</v>
      </c>
      <c r="C12" s="6" t="n">
        <v>0.3</v>
      </c>
      <c r="D12" s="6" t="n">
        <v>0.5</v>
      </c>
      <c r="E12" s="6" t="n">
        <v>1</v>
      </c>
      <c r="F12" s="2" t="s">
        <v>514</v>
      </c>
      <c r="G12" s="2" t="s">
        <v>518</v>
      </c>
      <c r="H12" s="2" t="s">
        <v>542</v>
      </c>
    </row>
    <row r="13" customFormat="false" ht="15" hidden="false" customHeight="false" outlineLevel="0" collapsed="false">
      <c r="A13" s="2" t="s">
        <v>543</v>
      </c>
      <c r="B13" s="2" t="s">
        <v>544</v>
      </c>
      <c r="C13" s="6" t="n">
        <v>0.2</v>
      </c>
      <c r="D13" s="6" t="n">
        <v>0.5</v>
      </c>
      <c r="E13" s="6" t="n">
        <v>1</v>
      </c>
      <c r="F13" s="2" t="s">
        <v>505</v>
      </c>
      <c r="G13" s="2" t="s">
        <v>518</v>
      </c>
      <c r="H13" s="2" t="s">
        <v>519</v>
      </c>
    </row>
    <row r="14" customFormat="false" ht="15" hidden="false" customHeight="false" outlineLevel="0" collapsed="false">
      <c r="A14" s="2" t="s">
        <v>545</v>
      </c>
      <c r="B14" s="2" t="s">
        <v>546</v>
      </c>
      <c r="C14" s="6" t="n">
        <v>2.29</v>
      </c>
      <c r="D14" s="6" t="n">
        <v>2.29</v>
      </c>
      <c r="E14" s="6" t="n">
        <v>2.29</v>
      </c>
      <c r="F14" s="2" t="s">
        <v>547</v>
      </c>
      <c r="G14" s="2" t="s">
        <v>548</v>
      </c>
      <c r="H14" s="2" t="s">
        <v>549</v>
      </c>
    </row>
    <row r="15" customFormat="false" ht="15" hidden="false" customHeight="false" outlineLevel="0" collapsed="false">
      <c r="A15" s="2" t="s">
        <v>550</v>
      </c>
      <c r="B15" s="2" t="s">
        <v>551</v>
      </c>
      <c r="C15" s="6" t="n">
        <v>0.1</v>
      </c>
      <c r="D15" s="6" t="n">
        <v>0.5</v>
      </c>
      <c r="E15" s="6" t="n">
        <v>0.8</v>
      </c>
      <c r="F15" s="2" t="s">
        <v>514</v>
      </c>
      <c r="G15" s="2" t="s">
        <v>518</v>
      </c>
      <c r="H15" s="2" t="s">
        <v>552</v>
      </c>
    </row>
    <row r="16" customFormat="false" ht="15" hidden="false" customHeight="false" outlineLevel="0" collapsed="false">
      <c r="A16" s="2" t="s">
        <v>553</v>
      </c>
      <c r="B16" s="2" t="s">
        <v>554</v>
      </c>
      <c r="C16" s="6" t="n">
        <v>0</v>
      </c>
      <c r="D16" s="6" t="n">
        <v>0</v>
      </c>
      <c r="E16" s="6" t="n">
        <v>0</v>
      </c>
      <c r="F16" s="2" t="s">
        <v>514</v>
      </c>
      <c r="G16" s="2" t="s">
        <v>518</v>
      </c>
      <c r="H16" s="2" t="s">
        <v>555</v>
      </c>
    </row>
    <row r="17" customFormat="false" ht="15" hidden="false" customHeight="false" outlineLevel="0" collapsed="false">
      <c r="A17" s="2" t="s">
        <v>556</v>
      </c>
      <c r="B17" s="2" t="s">
        <v>557</v>
      </c>
      <c r="C17" s="6" t="n">
        <v>0.07</v>
      </c>
      <c r="D17" s="6" t="n">
        <v>0.15</v>
      </c>
      <c r="E17" s="6" t="n">
        <v>0.2</v>
      </c>
      <c r="F17" s="2" t="s">
        <v>558</v>
      </c>
      <c r="G17" s="2" t="s">
        <v>518</v>
      </c>
      <c r="H17" s="2" t="s">
        <v>519</v>
      </c>
    </row>
    <row r="18" customFormat="false" ht="15" hidden="false" customHeight="false" outlineLevel="0" collapsed="false">
      <c r="A18" s="2" t="s">
        <v>559</v>
      </c>
      <c r="B18" s="2" t="s">
        <v>560</v>
      </c>
      <c r="C18" s="6" t="s">
        <v>561</v>
      </c>
      <c r="D18" s="6"/>
      <c r="E18" s="6"/>
      <c r="F18" s="2" t="s">
        <v>562</v>
      </c>
      <c r="G18" s="2" t="s">
        <v>506</v>
      </c>
      <c r="H18" s="2" t="s">
        <v>563</v>
      </c>
    </row>
    <row r="19" customFormat="false" ht="15" hidden="false" customHeight="false" outlineLevel="0" collapsed="false">
      <c r="A19" s="2" t="s">
        <v>564</v>
      </c>
      <c r="B19" s="2" t="s">
        <v>565</v>
      </c>
      <c r="C19" s="6" t="n">
        <v>29.84</v>
      </c>
      <c r="D19" s="6" t="n">
        <v>29.84</v>
      </c>
      <c r="E19" s="6" t="n">
        <v>29.84</v>
      </c>
      <c r="F19" s="2" t="s">
        <v>566</v>
      </c>
      <c r="G19" s="2" t="s">
        <v>506</v>
      </c>
      <c r="H19" s="2" t="s">
        <v>567</v>
      </c>
    </row>
    <row r="20" customFormat="false" ht="15" hidden="false" customHeight="false" outlineLevel="0" collapsed="false">
      <c r="A20" s="2" t="s">
        <v>568</v>
      </c>
      <c r="B20" s="2" t="s">
        <v>569</v>
      </c>
      <c r="C20" s="6" t="n">
        <v>39.7</v>
      </c>
      <c r="D20" s="6" t="n">
        <v>39.7</v>
      </c>
      <c r="E20" s="6" t="n">
        <v>39.7</v>
      </c>
      <c r="F20" s="2" t="s">
        <v>566</v>
      </c>
      <c r="G20" s="2" t="s">
        <v>506</v>
      </c>
      <c r="H20" s="2" t="s">
        <v>567</v>
      </c>
    </row>
    <row r="21" customFormat="false" ht="15" hidden="false" customHeight="false" outlineLevel="0" collapsed="false">
      <c r="A21" s="2" t="s">
        <v>570</v>
      </c>
      <c r="B21" s="2" t="s">
        <v>571</v>
      </c>
      <c r="C21" s="6" t="n">
        <v>788</v>
      </c>
      <c r="D21" s="6" t="n">
        <v>788</v>
      </c>
      <c r="E21" s="6" t="n">
        <v>788</v>
      </c>
      <c r="F21" s="2" t="s">
        <v>566</v>
      </c>
      <c r="G21" s="2" t="s">
        <v>506</v>
      </c>
      <c r="H21" s="2" t="s">
        <v>567</v>
      </c>
    </row>
    <row r="22" customFormat="false" ht="15" hidden="false" customHeight="false" outlineLevel="0" collapsed="false">
      <c r="A22" s="2" t="s">
        <v>572</v>
      </c>
      <c r="B22" s="2" t="s">
        <v>573</v>
      </c>
      <c r="C22" s="6" t="n">
        <v>0.483</v>
      </c>
      <c r="D22" s="6" t="n">
        <v>0.483</v>
      </c>
      <c r="E22" s="6" t="n">
        <v>0.483</v>
      </c>
      <c r="F22" s="2" t="s">
        <v>514</v>
      </c>
      <c r="G22" s="2" t="s">
        <v>506</v>
      </c>
      <c r="H22" s="2" t="s">
        <v>574</v>
      </c>
    </row>
    <row r="23" customFormat="false" ht="15" hidden="false" customHeight="false" outlineLevel="0" collapsed="false">
      <c r="A23" s="2" t="s">
        <v>575</v>
      </c>
      <c r="B23" s="2" t="s">
        <v>576</v>
      </c>
      <c r="C23" s="6" t="n">
        <v>0.801</v>
      </c>
      <c r="D23" s="6" t="n">
        <v>0.801</v>
      </c>
      <c r="E23" s="6" t="n">
        <v>0.801</v>
      </c>
      <c r="F23" s="2" t="s">
        <v>514</v>
      </c>
      <c r="G23" s="2" t="s">
        <v>506</v>
      </c>
      <c r="H23" s="2" t="s">
        <v>577</v>
      </c>
    </row>
    <row r="24" customFormat="false" ht="15" hidden="false" customHeight="false" outlineLevel="0" collapsed="false">
      <c r="A24" s="2" t="s">
        <v>578</v>
      </c>
      <c r="B24" s="2" t="s">
        <v>579</v>
      </c>
      <c r="C24" s="6" t="n">
        <v>0.71</v>
      </c>
      <c r="D24" s="6" t="n">
        <v>0.71</v>
      </c>
      <c r="E24" s="6" t="n">
        <v>0.71</v>
      </c>
      <c r="F24" s="2" t="s">
        <v>514</v>
      </c>
      <c r="G24" s="2" t="s">
        <v>580</v>
      </c>
      <c r="H24" s="2" t="s">
        <v>581</v>
      </c>
    </row>
    <row r="25" customFormat="false" ht="15" hidden="false" customHeight="false" outlineLevel="0" collapsed="false">
      <c r="A25" s="2" t="s">
        <v>582</v>
      </c>
      <c r="B25" s="2" t="s">
        <v>583</v>
      </c>
      <c r="C25" s="6" t="s">
        <v>584</v>
      </c>
      <c r="D25" s="6"/>
      <c r="E25" s="6"/>
      <c r="F25" s="2" t="s">
        <v>514</v>
      </c>
      <c r="G25" s="2" t="s">
        <v>506</v>
      </c>
      <c r="H25" s="2" t="s">
        <v>529</v>
      </c>
    </row>
    <row r="26" customFormat="false" ht="15" hidden="false" customHeight="false" outlineLevel="0" collapsed="false">
      <c r="A26" s="2" t="s">
        <v>585</v>
      </c>
      <c r="B26" s="2" t="s">
        <v>586</v>
      </c>
      <c r="C26" s="6" t="n">
        <v>0.9</v>
      </c>
      <c r="D26" s="6" t="n">
        <v>0.9</v>
      </c>
      <c r="E26" s="6" t="n">
        <v>0.9</v>
      </c>
      <c r="F26" s="2" t="s">
        <v>514</v>
      </c>
      <c r="G26" s="2" t="s">
        <v>506</v>
      </c>
      <c r="H26" s="2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8" min="2" style="0" width="16"/>
  </cols>
  <sheetData>
    <row r="1" customFormat="false" ht="26.85" hidden="false" customHeight="false" outlineLevel="0" collapsed="false">
      <c r="A1" s="5" t="s">
        <v>588</v>
      </c>
      <c r="B1" s="5" t="s">
        <v>589</v>
      </c>
      <c r="C1" s="5" t="s">
        <v>590</v>
      </c>
      <c r="D1" s="5" t="s">
        <v>591</v>
      </c>
      <c r="E1" s="5" t="s">
        <v>592</v>
      </c>
      <c r="F1" s="5" t="s">
        <v>593</v>
      </c>
      <c r="G1" s="5" t="s">
        <v>594</v>
      </c>
      <c r="H1" s="5" t="s">
        <v>595</v>
      </c>
      <c r="I1" s="5" t="s">
        <v>596</v>
      </c>
      <c r="J1" s="5" t="s">
        <v>597</v>
      </c>
      <c r="K1" s="5" t="s">
        <v>598</v>
      </c>
      <c r="L1" s="5" t="s">
        <v>599</v>
      </c>
      <c r="M1" s="5" t="s">
        <v>600</v>
      </c>
      <c r="N1" s="5" t="s">
        <v>601</v>
      </c>
      <c r="O1" s="5" t="s">
        <v>602</v>
      </c>
      <c r="P1" s="5" t="s">
        <v>603</v>
      </c>
      <c r="Q1" s="5" t="s">
        <v>604</v>
      </c>
      <c r="R1" s="5" t="s">
        <v>605</v>
      </c>
    </row>
    <row r="2" customFormat="false" ht="15" hidden="false" customHeight="false" outlineLevel="0" collapsed="false">
      <c r="A2" s="2" t="s">
        <v>606</v>
      </c>
      <c r="B2" s="7" t="n">
        <v>0.211950108941283</v>
      </c>
      <c r="C2" s="7" t="n">
        <v>0.189169736928436</v>
      </c>
      <c r="D2" s="7" t="n">
        <v>0.240067265274359</v>
      </c>
      <c r="E2" s="7" t="n">
        <v>0.122492391219711</v>
      </c>
      <c r="F2" s="7" t="n">
        <v>0.105640934944113</v>
      </c>
      <c r="G2" s="7" t="n">
        <v>0.140447667888043</v>
      </c>
      <c r="H2" s="7" t="n">
        <v>0.642048858360586</v>
      </c>
      <c r="I2" s="7" t="n">
        <v>0.531591895336445</v>
      </c>
      <c r="J2" s="7" t="n">
        <v>0.813451672119885</v>
      </c>
      <c r="K2" s="7" t="n">
        <v>1.73498780666895</v>
      </c>
      <c r="L2" s="7" t="n">
        <v>1.44971763388095</v>
      </c>
      <c r="M2" s="7" t="n">
        <v>2.09350608423111</v>
      </c>
      <c r="N2" s="7" t="n">
        <v>5.26884371009312</v>
      </c>
      <c r="O2" s="7" t="n">
        <v>4.14190339527682</v>
      </c>
      <c r="P2" s="7" t="n">
        <v>6.90997164973007</v>
      </c>
      <c r="Q2" s="7" t="n">
        <v>0</v>
      </c>
      <c r="R2" s="7" t="n">
        <v>0</v>
      </c>
    </row>
    <row r="3" customFormat="false" ht="15" hidden="false" customHeight="false" outlineLevel="0" collapsed="false">
      <c r="A3" s="2" t="s">
        <v>607</v>
      </c>
      <c r="B3" s="7" t="n">
        <v>0.148767671689981</v>
      </c>
      <c r="C3" s="7" t="n">
        <v>0.128259200828944</v>
      </c>
      <c r="D3" s="7" t="n">
        <v>0.173587550024164</v>
      </c>
      <c r="E3" s="7" t="n">
        <v>0.129056483664976</v>
      </c>
      <c r="F3" s="7" t="n">
        <v>0.111049180418559</v>
      </c>
      <c r="G3" s="7" t="n">
        <v>0.148208424814028</v>
      </c>
      <c r="H3" s="7" t="n">
        <v>0.728855049179834</v>
      </c>
      <c r="I3" s="7" t="n">
        <v>0.619123785100425</v>
      </c>
      <c r="J3" s="7" t="n">
        <v>0.900164185901624</v>
      </c>
      <c r="K3" s="7" t="n">
        <v>1.15549214772155</v>
      </c>
      <c r="L3" s="7" t="n">
        <v>0.941145219459227</v>
      </c>
      <c r="M3" s="7" t="n">
        <v>1.42681364661474</v>
      </c>
      <c r="N3" s="7" t="n">
        <v>5.68261113566488</v>
      </c>
      <c r="O3" s="7" t="n">
        <v>4.54985029170334</v>
      </c>
      <c r="P3" s="7" t="n">
        <v>7.30351485829609</v>
      </c>
      <c r="Q3" s="7" t="n">
        <v>0.12935</v>
      </c>
      <c r="R3" s="7" t="n">
        <v>0</v>
      </c>
    </row>
    <row r="4" customFormat="false" ht="15" hidden="false" customHeight="false" outlineLevel="0" collapsed="false">
      <c r="A4" s="2" t="s">
        <v>608</v>
      </c>
      <c r="B4" s="7" t="n">
        <v>0.148767671689981</v>
      </c>
      <c r="C4" s="7" t="n">
        <v>0.128259200828944</v>
      </c>
      <c r="D4" s="7" t="n">
        <v>0.173587550024164</v>
      </c>
      <c r="E4" s="7" t="n">
        <v>0.114990630929612</v>
      </c>
      <c r="F4" s="7" t="n">
        <v>0.0971934563509775</v>
      </c>
      <c r="G4" s="7" t="n">
        <v>0.133743868178943</v>
      </c>
      <c r="H4" s="7" t="n">
        <v>0.728855049179834</v>
      </c>
      <c r="I4" s="7" t="n">
        <v>0.619123785100425</v>
      </c>
      <c r="J4" s="7" t="n">
        <v>0.900164185901624</v>
      </c>
      <c r="K4" s="7" t="n">
        <v>1.29716739277056</v>
      </c>
      <c r="L4" s="7" t="n">
        <v>1.04697197140763</v>
      </c>
      <c r="M4" s="7" t="n">
        <v>1.62074782378947</v>
      </c>
      <c r="N4" s="7" t="n">
        <v>6.38988489946346</v>
      </c>
      <c r="O4" s="7" t="n">
        <v>5.0644525269534</v>
      </c>
      <c r="P4" s="7" t="n">
        <v>8.27814571378914</v>
      </c>
      <c r="Q4" s="7" t="n">
        <v>0.0212</v>
      </c>
      <c r="R4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</cols>
  <sheetData>
    <row r="1" customFormat="false" ht="26.85" hidden="false" customHeight="false" outlineLevel="0" collapsed="false">
      <c r="A1" s="5" t="s">
        <v>496</v>
      </c>
      <c r="B1" s="5" t="s">
        <v>609</v>
      </c>
    </row>
    <row r="2" customFormat="false" ht="15" hidden="false" customHeight="false" outlineLevel="0" collapsed="false">
      <c r="A2" s="2" t="s">
        <v>517</v>
      </c>
      <c r="B2" s="10" t="n">
        <v>0.477356526396891</v>
      </c>
    </row>
    <row r="3" customFormat="false" ht="15" hidden="false" customHeight="false" outlineLevel="0" collapsed="false">
      <c r="A3" s="2" t="s">
        <v>544</v>
      </c>
      <c r="B3" s="10" t="n">
        <v>-0.389537934426345</v>
      </c>
    </row>
    <row r="4" customFormat="false" ht="15" hidden="false" customHeight="false" outlineLevel="0" collapsed="false">
      <c r="A4" s="2" t="s">
        <v>513</v>
      </c>
      <c r="B4" s="10" t="n">
        <v>-0.388689360163223</v>
      </c>
    </row>
    <row r="5" customFormat="false" ht="15" hidden="false" customHeight="false" outlineLevel="0" collapsed="false">
      <c r="A5" s="2" t="s">
        <v>531</v>
      </c>
      <c r="B5" s="10" t="n">
        <v>-0.366802340082506</v>
      </c>
    </row>
    <row r="6" customFormat="false" ht="15" hidden="false" customHeight="false" outlineLevel="0" collapsed="false">
      <c r="A6" s="2" t="s">
        <v>504</v>
      </c>
      <c r="B6" s="10" t="n">
        <v>0.299055363587138</v>
      </c>
    </row>
    <row r="7" customFormat="false" ht="15" hidden="false" customHeight="false" outlineLevel="0" collapsed="false">
      <c r="A7" s="2" t="s">
        <v>541</v>
      </c>
      <c r="B7" s="10" t="n">
        <v>0.287724293979811</v>
      </c>
    </row>
    <row r="8" customFormat="false" ht="15" hidden="false" customHeight="false" outlineLevel="0" collapsed="false">
      <c r="A8" s="2" t="s">
        <v>551</v>
      </c>
      <c r="B8" s="10" t="n">
        <v>-0.245113266782283</v>
      </c>
    </row>
    <row r="9" customFormat="false" ht="15" hidden="false" customHeight="false" outlineLevel="0" collapsed="false">
      <c r="A9" s="2" t="s">
        <v>509</v>
      </c>
      <c r="B9" s="10" t="n">
        <v>0.147570332755426</v>
      </c>
    </row>
    <row r="10" customFormat="false" ht="15" hidden="false" customHeight="false" outlineLevel="0" collapsed="false">
      <c r="A10" s="2" t="s">
        <v>535</v>
      </c>
      <c r="B10" s="10" t="n">
        <v>-0.142964508367911</v>
      </c>
    </row>
    <row r="11" customFormat="false" ht="15" hidden="false" customHeight="false" outlineLevel="0" collapsed="false">
      <c r="A11" s="2" t="s">
        <v>610</v>
      </c>
      <c r="B11" s="10" t="n">
        <v>0.0203818010144544</v>
      </c>
    </row>
    <row r="12" customFormat="false" ht="15" hidden="false" customHeight="false" outlineLevel="0" collapsed="false">
      <c r="A12" s="2" t="s">
        <v>525</v>
      </c>
      <c r="B12" s="10" t="n">
        <v>0.0038474811516187</v>
      </c>
    </row>
    <row r="13" customFormat="false" ht="15" hidden="false" customHeight="false" outlineLevel="0" collapsed="false">
      <c r="A13" s="2" t="s">
        <v>521</v>
      </c>
      <c r="B13" s="10" t="n">
        <v>0.0035066020647665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6"/>
  </cols>
  <sheetData>
    <row r="1" customFormat="false" ht="15" hidden="false" customHeight="false" outlineLevel="0" collapsed="false">
      <c r="A1" s="4" t="s">
        <v>611</v>
      </c>
    </row>
    <row r="3" customFormat="false" ht="26.85" hidden="false" customHeight="false" outlineLevel="0" collapsed="false">
      <c r="A3" s="5" t="s">
        <v>612</v>
      </c>
      <c r="B3" s="5" t="s">
        <v>613</v>
      </c>
      <c r="C3" s="5" t="s">
        <v>614</v>
      </c>
      <c r="D3" s="5" t="s">
        <v>615</v>
      </c>
      <c r="E3" s="5" t="s">
        <v>616</v>
      </c>
      <c r="F3" s="5" t="s">
        <v>598</v>
      </c>
      <c r="G3" s="5" t="s">
        <v>604</v>
      </c>
      <c r="H3" s="5" t="s">
        <v>617</v>
      </c>
      <c r="I3" s="5" t="s">
        <v>618</v>
      </c>
      <c r="J3" s="5" t="s">
        <v>619</v>
      </c>
    </row>
    <row r="4" customFormat="false" ht="15" hidden="false" customHeight="false" outlineLevel="0" collapsed="false">
      <c r="A4" s="2" t="s">
        <v>620</v>
      </c>
      <c r="B4" s="7" t="n">
        <v>0.894063400623702</v>
      </c>
      <c r="C4" s="7" t="n">
        <v>0.83100090533003</v>
      </c>
      <c r="D4" s="7" t="n">
        <v>0.958722102321436</v>
      </c>
      <c r="E4" s="7" t="n">
        <v>0.0041</v>
      </c>
      <c r="F4" s="7"/>
      <c r="G4" s="7"/>
      <c r="H4" s="7"/>
      <c r="I4" s="7"/>
      <c r="J4" s="7"/>
    </row>
    <row r="5" customFormat="false" ht="15" hidden="false" customHeight="false" outlineLevel="0" collapsed="false">
      <c r="A5" s="2" t="s">
        <v>621</v>
      </c>
      <c r="B5" s="7" t="n">
        <v>0.925080384740008</v>
      </c>
      <c r="C5" s="7" t="n">
        <v>0.863572004144588</v>
      </c>
      <c r="D5" s="7" t="n">
        <v>0.989866560623959</v>
      </c>
      <c r="E5" s="7" t="n">
        <v>0.02915</v>
      </c>
      <c r="F5" s="7"/>
      <c r="G5" s="7"/>
      <c r="H5" s="7"/>
      <c r="I5" s="7"/>
      <c r="J5" s="7"/>
    </row>
    <row r="6" customFormat="false" ht="15" hidden="false" customHeight="false" outlineLevel="0" collapsed="false">
      <c r="A6" s="2" t="s">
        <v>622</v>
      </c>
      <c r="B6" s="7"/>
      <c r="C6" s="7" t="n">
        <v>0.752776884814822</v>
      </c>
      <c r="D6" s="7" t="n">
        <v>1.04634511082996</v>
      </c>
      <c r="E6" s="7"/>
      <c r="F6" s="7" t="n">
        <v>0.880593350365521</v>
      </c>
      <c r="G6" s="7" t="n">
        <v>0.8884</v>
      </c>
      <c r="H6" s="7" t="n">
        <v>0.811517735668286</v>
      </c>
      <c r="I6" s="7" t="n">
        <v>0.761359701135185</v>
      </c>
      <c r="J6" s="7" t="n">
        <v>0.863801265720241</v>
      </c>
    </row>
    <row r="9" customFormat="false" ht="15" hidden="false" customHeight="false" outlineLevel="0" collapsed="false">
      <c r="A9" s="2" t="s">
        <v>623</v>
      </c>
      <c r="B9" s="2" t="n">
        <v>3.52</v>
      </c>
    </row>
    <row r="10" customFormat="false" ht="15" hidden="false" customHeight="false" outlineLevel="0" collapsed="false">
      <c r="A10" s="2" t="s">
        <v>624</v>
      </c>
      <c r="B10" s="2" t="s">
        <v>625</v>
      </c>
    </row>
    <row r="11" customFormat="false" ht="15" hidden="false" customHeight="false" outlineLevel="0" collapsed="false">
      <c r="A11" s="2" t="s">
        <v>626</v>
      </c>
      <c r="B11" s="2" t="n">
        <v>4.71</v>
      </c>
    </row>
    <row r="12" customFormat="false" ht="15" hidden="false" customHeight="false" outlineLevel="0" collapsed="false">
      <c r="A12" s="2" t="s">
        <v>627</v>
      </c>
      <c r="B12" s="2" t="s">
        <v>628</v>
      </c>
    </row>
    <row r="13" customFormat="false" ht="15" hidden="false" customHeight="false" outlineLevel="0" collapsed="false">
      <c r="A13" s="2" t="s">
        <v>629</v>
      </c>
      <c r="B13" s="2" t="n">
        <v>2.59</v>
      </c>
    </row>
    <row r="14" customFormat="false" ht="15" hidden="false" customHeight="false" outlineLevel="0" collapsed="false">
      <c r="A14" s="2" t="s">
        <v>630</v>
      </c>
      <c r="B14" s="2" t="s"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4" t="s">
        <v>632</v>
      </c>
    </row>
    <row r="3" customFormat="false" ht="15" hidden="false" customHeight="false" outlineLevel="0" collapsed="false">
      <c r="A3" s="3" t="s">
        <v>633</v>
      </c>
    </row>
    <row r="4" customFormat="false" ht="15" hidden="false" customHeight="false" outlineLevel="0" collapsed="false">
      <c r="A4" s="3" t="s">
        <v>497</v>
      </c>
      <c r="B4" s="3" t="s">
        <v>634</v>
      </c>
      <c r="C4" s="3" t="s">
        <v>635</v>
      </c>
    </row>
    <row r="5" customFormat="false" ht="15" hidden="false" customHeight="false" outlineLevel="0" collapsed="false">
      <c r="A5" s="2" t="s">
        <v>504</v>
      </c>
      <c r="B5" s="11" t="n">
        <f aca="false">S6_Model_parameters!D2</f>
        <v>15.1</v>
      </c>
      <c r="C5" s="2" t="s">
        <v>636</v>
      </c>
    </row>
    <row r="6" customFormat="false" ht="15" hidden="false" customHeight="false" outlineLevel="0" collapsed="false">
      <c r="A6" s="2" t="s">
        <v>509</v>
      </c>
      <c r="B6" s="11" t="n">
        <f aca="false">S6_Model_parameters!D3</f>
        <v>0.52</v>
      </c>
      <c r="C6" s="2" t="s">
        <v>636</v>
      </c>
    </row>
    <row r="7" customFormat="false" ht="15" hidden="false" customHeight="false" outlineLevel="0" collapsed="false">
      <c r="A7" s="2" t="s">
        <v>513</v>
      </c>
      <c r="B7" s="11" t="n">
        <f aca="false">S6_Model_parameters!D4</f>
        <v>0.98</v>
      </c>
      <c r="C7" s="2" t="s">
        <v>636</v>
      </c>
    </row>
    <row r="8" customFormat="false" ht="15" hidden="false" customHeight="false" outlineLevel="0" collapsed="false">
      <c r="A8" s="2" t="s">
        <v>517</v>
      </c>
      <c r="B8" s="11" t="n">
        <f aca="false">S6_Model_parameters!D5</f>
        <v>1</v>
      </c>
      <c r="C8" s="2" t="s">
        <v>636</v>
      </c>
    </row>
    <row r="9" customFormat="false" ht="15" hidden="false" customHeight="false" outlineLevel="0" collapsed="false">
      <c r="A9" s="2" t="s">
        <v>521</v>
      </c>
      <c r="B9" s="11" t="n">
        <f aca="false">S6_Model_parameters!D6</f>
        <v>1.1</v>
      </c>
      <c r="C9" s="2" t="s">
        <v>636</v>
      </c>
    </row>
    <row r="10" customFormat="false" ht="15" hidden="false" customHeight="false" outlineLevel="0" collapsed="false">
      <c r="A10" s="2" t="s">
        <v>525</v>
      </c>
      <c r="B10" s="11" t="n">
        <f aca="false">S6_Model_parameters!D7</f>
        <v>0.58</v>
      </c>
      <c r="C10" s="2" t="s">
        <v>636</v>
      </c>
    </row>
    <row r="11" customFormat="false" ht="15" hidden="false" customHeight="false" outlineLevel="0" collapsed="false">
      <c r="A11" s="2" t="s">
        <v>528</v>
      </c>
      <c r="B11" s="11" t="n">
        <f aca="false">S6_Model_parameters!D8</f>
        <v>0.9</v>
      </c>
      <c r="C11" s="2" t="s">
        <v>636</v>
      </c>
    </row>
    <row r="12" customFormat="false" ht="15" hidden="false" customHeight="false" outlineLevel="0" collapsed="false">
      <c r="A12" s="2" t="s">
        <v>531</v>
      </c>
      <c r="B12" s="11" t="n">
        <f aca="false">S6_Model_parameters!D9</f>
        <v>2.8</v>
      </c>
      <c r="C12" s="2" t="s">
        <v>636</v>
      </c>
    </row>
    <row r="13" customFormat="false" ht="15" hidden="false" customHeight="false" outlineLevel="0" collapsed="false">
      <c r="A13" s="2" t="s">
        <v>535</v>
      </c>
      <c r="B13" s="11" t="n">
        <f aca="false">S6_Model_parameters!D10</f>
        <v>1.4</v>
      </c>
      <c r="C13" s="2" t="s">
        <v>636</v>
      </c>
    </row>
    <row r="14" customFormat="false" ht="15" hidden="false" customHeight="false" outlineLevel="0" collapsed="false">
      <c r="A14" s="2" t="s">
        <v>539</v>
      </c>
      <c r="B14" s="11" t="n">
        <f aca="false">S6_Model_parameters!D11</f>
        <v>0.85</v>
      </c>
      <c r="C14" s="2" t="s">
        <v>636</v>
      </c>
    </row>
    <row r="15" customFormat="false" ht="15" hidden="false" customHeight="false" outlineLevel="0" collapsed="false">
      <c r="A15" s="2" t="s">
        <v>541</v>
      </c>
      <c r="B15" s="11" t="n">
        <f aca="false">S6_Model_parameters!D12</f>
        <v>0.5</v>
      </c>
      <c r="C15" s="2" t="s">
        <v>636</v>
      </c>
    </row>
    <row r="16" customFormat="false" ht="15" hidden="false" customHeight="false" outlineLevel="0" collapsed="false">
      <c r="A16" s="2" t="s">
        <v>544</v>
      </c>
      <c r="B16" s="11" t="n">
        <f aca="false">S6_Model_parameters!D13</f>
        <v>0.5</v>
      </c>
      <c r="C16" s="2" t="s">
        <v>636</v>
      </c>
    </row>
    <row r="17" customFormat="false" ht="15" hidden="false" customHeight="false" outlineLevel="0" collapsed="false">
      <c r="A17" s="2" t="s">
        <v>546</v>
      </c>
      <c r="B17" s="11" t="n">
        <f aca="false">S6_Model_parameters!D14</f>
        <v>2.29</v>
      </c>
      <c r="C17" s="2" t="s">
        <v>636</v>
      </c>
    </row>
    <row r="18" customFormat="false" ht="15" hidden="false" customHeight="false" outlineLevel="0" collapsed="false">
      <c r="A18" s="2" t="s">
        <v>551</v>
      </c>
      <c r="B18" s="11" t="n">
        <f aca="false">S6_Model_parameters!D15</f>
        <v>0.5</v>
      </c>
      <c r="C18" s="2" t="s">
        <v>636</v>
      </c>
    </row>
    <row r="19" customFormat="false" ht="15" hidden="false" customHeight="false" outlineLevel="0" collapsed="false">
      <c r="A19" s="2" t="s">
        <v>554</v>
      </c>
      <c r="B19" s="11" t="n">
        <f aca="false">S6_Model_parameters!D16</f>
        <v>0</v>
      </c>
      <c r="C19" s="2" t="s">
        <v>636</v>
      </c>
    </row>
    <row r="20" customFormat="false" ht="15" hidden="false" customHeight="false" outlineLevel="0" collapsed="false">
      <c r="A20" s="2" t="s">
        <v>557</v>
      </c>
      <c r="B20" s="11" t="n">
        <f aca="false">S6_Model_parameters!D17</f>
        <v>0.15</v>
      </c>
      <c r="C20" s="2" t="s">
        <v>636</v>
      </c>
    </row>
    <row r="21" customFormat="false" ht="15" hidden="false" customHeight="false" outlineLevel="0" collapsed="false">
      <c r="A21" s="2" t="s">
        <v>565</v>
      </c>
      <c r="B21" s="11" t="n">
        <f aca="false">S6_Model_parameters!D19</f>
        <v>29.84</v>
      </c>
      <c r="C21" s="2" t="s">
        <v>637</v>
      </c>
    </row>
    <row r="22" customFormat="false" ht="15" hidden="false" customHeight="false" outlineLevel="0" collapsed="false">
      <c r="A22" s="2" t="s">
        <v>569</v>
      </c>
      <c r="B22" s="11" t="n">
        <f aca="false">S6_Model_parameters!D20</f>
        <v>39.7</v>
      </c>
      <c r="C22" s="2" t="s">
        <v>637</v>
      </c>
    </row>
    <row r="23" customFormat="false" ht="15" hidden="false" customHeight="false" outlineLevel="0" collapsed="false">
      <c r="A23" s="2" t="s">
        <v>571</v>
      </c>
      <c r="B23" s="11" t="n">
        <f aca="false">S6_Model_parameters!D21</f>
        <v>788</v>
      </c>
      <c r="C23" s="2" t="s">
        <v>637</v>
      </c>
    </row>
    <row r="24" customFormat="false" ht="15" hidden="false" customHeight="false" outlineLevel="0" collapsed="false">
      <c r="A24" s="2" t="s">
        <v>638</v>
      </c>
      <c r="B24" s="6" t="n">
        <v>1000</v>
      </c>
      <c r="C24" s="2" t="s">
        <v>639</v>
      </c>
    </row>
    <row r="25" customFormat="false" ht="15" hidden="false" customHeight="false" outlineLevel="0" collapsed="false">
      <c r="A25" s="2" t="s">
        <v>640</v>
      </c>
      <c r="B25" s="6" t="n">
        <v>500</v>
      </c>
      <c r="C25" s="2" t="s">
        <v>639</v>
      </c>
    </row>
    <row r="26" customFormat="false" ht="15" hidden="false" customHeight="false" outlineLevel="0" collapsed="false">
      <c r="A26" s="2" t="s">
        <v>641</v>
      </c>
      <c r="B26" s="6" t="n">
        <v>500</v>
      </c>
      <c r="C26" s="2" t="s">
        <v>639</v>
      </c>
    </row>
    <row r="27" customFormat="false" ht="15" hidden="false" customHeight="false" outlineLevel="0" collapsed="false">
      <c r="A27" s="3" t="s">
        <v>642</v>
      </c>
    </row>
    <row r="28" customFormat="false" ht="39.55" hidden="false" customHeight="false" outlineLevel="0" collapsed="false">
      <c r="A28" s="12" t="s">
        <v>588</v>
      </c>
      <c r="B28" s="12" t="s">
        <v>643</v>
      </c>
      <c r="C28" s="12" t="s">
        <v>644</v>
      </c>
      <c r="D28" s="12" t="s">
        <v>645</v>
      </c>
      <c r="E28" s="12" t="s">
        <v>646</v>
      </c>
      <c r="F28" s="12" t="s">
        <v>647</v>
      </c>
      <c r="G28" s="12" t="s">
        <v>648</v>
      </c>
      <c r="H28" s="12" t="s">
        <v>649</v>
      </c>
      <c r="I28" s="12" t="s">
        <v>650</v>
      </c>
      <c r="J28" s="12" t="s">
        <v>651</v>
      </c>
      <c r="K28" s="12" t="s">
        <v>652</v>
      </c>
    </row>
    <row r="29" customFormat="false" ht="15" hidden="false" customHeight="false" outlineLevel="0" collapsed="false">
      <c r="A29" s="2" t="s">
        <v>606</v>
      </c>
      <c r="B29" s="6" t="n">
        <v>0.71</v>
      </c>
      <c r="C29" s="6" t="n">
        <v>0.801</v>
      </c>
      <c r="D29" s="6" t="n">
        <v>0.483</v>
      </c>
      <c r="E29" s="2" t="n">
        <f aca="false">$B$19</f>
        <v>0</v>
      </c>
      <c r="F29" s="7" t="n">
        <f aca="false">($B$21/1000)*($B$5+$B$8)-($B$21/1000)*B29*$B$7*($B$5-$B$6)+($B$21/1000)*$B$24/1000*$B$20</f>
        <v>0.18218024224</v>
      </c>
      <c r="G29" s="7" t="n">
        <f aca="false">($B$22/1000)*($B$12+$B$16)-($B$22/1000)*D29*$B$14*$B$15*($B$12-$B$13)+($B$22/1000)*(1-D29)*E29*$B$17+($B$22/1000)*$B$25/1000*$B$20</f>
        <v>0.1225783155</v>
      </c>
      <c r="H29" s="7" t="n">
        <f aca="false">($B$23/1000)*$B$9-($B$23/1000)*C29*$B$11*$B$10+($B$23/1000)*$B$26/1000*$B$20</f>
        <v>0.596419864</v>
      </c>
      <c r="I29" s="7" t="n">
        <f aca="false">F29/G29</f>
        <v>1.48623548542727</v>
      </c>
      <c r="J29" s="7" t="n">
        <f aca="false">H29/G29</f>
        <v>4.8656229412779</v>
      </c>
      <c r="K29" s="7" t="n">
        <f aca="false">(($B$21/1000)*($B$5+$B$8)+($B$21/1000)*$B$24/1000*$B$20-G29)/(($B$21/1000)*$B$7*($B$5-$B$6))</f>
        <v>0.849790571644649</v>
      </c>
    </row>
    <row r="30" customFormat="false" ht="15" hidden="false" customHeight="false" outlineLevel="0" collapsed="false">
      <c r="A30" s="2" t="s">
        <v>653</v>
      </c>
      <c r="B30" s="6" t="n">
        <v>0.85</v>
      </c>
      <c r="C30" s="6" t="n">
        <v>0.6</v>
      </c>
      <c r="D30" s="6" t="n">
        <v>0.7</v>
      </c>
      <c r="E30" s="2" t="n">
        <f aca="false">$B$18</f>
        <v>0.5</v>
      </c>
      <c r="F30" s="7" t="n">
        <f aca="false">($B$21/1000)*($B$5+$B$8)-($B$21/1000)*B30*$B$7*($B$5-$B$6)+($B$21/1000)*$B$24/1000*$B$20</f>
        <v>0.1224890224</v>
      </c>
      <c r="G30" s="7" t="n">
        <f aca="false">($B$22/1000)*($B$12+$B$16)-($B$22/1000)*D30*$B$14*$B$15*($B$12-$B$13)+($B$22/1000)*(1-D30)*E30*$B$17+($B$22/1000)*$B$25/1000*$B$20</f>
        <v>0.1310894</v>
      </c>
      <c r="H30" s="7" t="n">
        <f aca="false">($B$23/1000)*$B$9-($B$23/1000)*C30*$B$11*$B$10+($B$23/1000)*$B$26/1000*$B$20</f>
        <v>0.6790984</v>
      </c>
      <c r="I30" s="7" t="n">
        <f aca="false">F30/G30</f>
        <v>0.934393035592504</v>
      </c>
      <c r="J30" s="7" t="n">
        <f aca="false">H30/G30</f>
        <v>5.18042191054349</v>
      </c>
      <c r="K30" s="7" t="n">
        <f aca="false">(($B$21/1000)*($B$5+$B$8)+($B$21/1000)*$B$24/1000*$B$20-G30)/(($B$21/1000)*$B$7*($B$5-$B$6))</f>
        <v>0.829828643689517</v>
      </c>
    </row>
    <row r="31" customFormat="false" ht="15" hidden="false" customHeight="false" outlineLevel="0" collapsed="false">
      <c r="A31" s="2" t="s">
        <v>654</v>
      </c>
      <c r="B31" s="6" t="n">
        <v>0.85</v>
      </c>
      <c r="C31" s="6" t="n">
        <v>0.6</v>
      </c>
      <c r="D31" s="6" t="n">
        <v>0.9</v>
      </c>
      <c r="E31" s="2" t="n">
        <f aca="false">$B$18</f>
        <v>0.5</v>
      </c>
      <c r="F31" s="7" t="n">
        <f aca="false">($B$21/1000)*($B$5+$B$8)-($B$21/1000)*B31*$B$7*($B$5-$B$6)+($B$21/1000)*$B$24/1000*$B$20</f>
        <v>0.1224890224</v>
      </c>
      <c r="G31" s="7" t="n">
        <f aca="false">($B$22/1000)*($B$12+$B$16)-($B$22/1000)*D31*$B$14*$B$15*($B$12-$B$13)+($B$22/1000)*(1-D31)*E31*$B$17+($B$22/1000)*$B$25/1000*$B$20</f>
        <v>0.1172738</v>
      </c>
      <c r="H31" s="7" t="n">
        <f aca="false">($B$23/1000)*$B$9-($B$23/1000)*C31*$B$11*$B$10+($B$23/1000)*$B$26/1000*$B$20</f>
        <v>0.6790984</v>
      </c>
      <c r="I31" s="7" t="n">
        <f aca="false">F31/G31</f>
        <v>1.04447048189792</v>
      </c>
      <c r="J31" s="7" t="n">
        <f aca="false">H31/G31</f>
        <v>5.79070858111531</v>
      </c>
      <c r="K31" s="7" t="n">
        <f aca="false">(($B$21/1000)*($B$5+$B$8)+($B$21/1000)*$B$24/1000*$B$20-G31)/(($B$21/1000)*$B$7*($B$5-$B$6))</f>
        <v>0.862231801225659</v>
      </c>
    </row>
    <row r="32" customFormat="false" ht="15" hidden="false" customHeight="false" outlineLevel="0" collapsed="false">
      <c r="A32" s="4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15" hidden="false" customHeight="false" outlineLevel="0" collapsed="false">
      <c r="A1" s="5" t="s">
        <v>497</v>
      </c>
      <c r="B1" s="5" t="s">
        <v>498</v>
      </c>
      <c r="C1" s="5" t="s">
        <v>656</v>
      </c>
      <c r="D1" s="5" t="s">
        <v>500</v>
      </c>
      <c r="E1" s="5" t="s">
        <v>40</v>
      </c>
      <c r="F1" s="5" t="s">
        <v>501</v>
      </c>
      <c r="G1" s="5" t="s">
        <v>502</v>
      </c>
    </row>
    <row r="2" customFormat="false" ht="15" hidden="false" customHeight="false" outlineLevel="0" collapsed="false">
      <c r="A2" s="2" t="s">
        <v>657</v>
      </c>
      <c r="B2" s="6" t="n">
        <v>1</v>
      </c>
      <c r="C2" s="6" t="n">
        <v>2.5</v>
      </c>
      <c r="D2" s="6" t="n">
        <v>5</v>
      </c>
      <c r="E2" s="2" t="s">
        <v>658</v>
      </c>
      <c r="F2" s="2" t="s">
        <v>518</v>
      </c>
      <c r="G2" s="2" t="s">
        <v>659</v>
      </c>
    </row>
    <row r="3" customFormat="false" ht="15" hidden="false" customHeight="false" outlineLevel="0" collapsed="false">
      <c r="A3" s="2" t="s">
        <v>660</v>
      </c>
      <c r="B3" s="6" t="n">
        <v>3</v>
      </c>
      <c r="C3" s="6" t="n">
        <v>4</v>
      </c>
      <c r="D3" s="6" t="n">
        <v>5.5</v>
      </c>
      <c r="E3" s="2" t="s">
        <v>505</v>
      </c>
      <c r="F3" s="2" t="s">
        <v>518</v>
      </c>
      <c r="G3" s="2" t="s">
        <v>661</v>
      </c>
    </row>
    <row r="4" customFormat="false" ht="15" hidden="false" customHeight="false" outlineLevel="0" collapsed="false">
      <c r="A4" s="2" t="s">
        <v>662</v>
      </c>
      <c r="B4" s="6" t="n">
        <v>2.4</v>
      </c>
      <c r="C4" s="6" t="n">
        <v>2.8</v>
      </c>
      <c r="D4" s="6" t="n">
        <v>3.5</v>
      </c>
      <c r="E4" s="2" t="s">
        <v>505</v>
      </c>
      <c r="F4" s="2" t="s">
        <v>518</v>
      </c>
      <c r="G4" s="2" t="s">
        <v>663</v>
      </c>
    </row>
    <row r="5" customFormat="false" ht="15" hidden="false" customHeight="false" outlineLevel="0" collapsed="false">
      <c r="A5" s="2" t="s">
        <v>664</v>
      </c>
      <c r="B5" s="6" t="n">
        <v>2.2</v>
      </c>
      <c r="C5" s="6" t="n">
        <v>2.5</v>
      </c>
      <c r="D5" s="6" t="n">
        <v>3</v>
      </c>
      <c r="E5" s="2" t="s">
        <v>505</v>
      </c>
      <c r="F5" s="2" t="s">
        <v>518</v>
      </c>
      <c r="G5" s="2" t="s">
        <v>665</v>
      </c>
    </row>
    <row r="6" customFormat="false" ht="15" hidden="false" customHeight="false" outlineLevel="0" collapsed="false">
      <c r="A6" s="2" t="s">
        <v>666</v>
      </c>
      <c r="B6" s="6" t="n">
        <v>1</v>
      </c>
      <c r="C6" s="6" t="n">
        <v>1.3</v>
      </c>
      <c r="D6" s="6" t="n">
        <v>1.6</v>
      </c>
      <c r="E6" s="2" t="s">
        <v>505</v>
      </c>
      <c r="F6" s="2" t="s">
        <v>518</v>
      </c>
      <c r="G6" s="2" t="s">
        <v>667</v>
      </c>
    </row>
    <row r="7" customFormat="false" ht="15" hidden="false" customHeight="false" outlineLevel="0" collapsed="false">
      <c r="A7" s="2" t="s">
        <v>668</v>
      </c>
      <c r="B7" s="6" t="n">
        <v>0.3</v>
      </c>
      <c r="C7" s="6" t="n">
        <v>0.5</v>
      </c>
      <c r="D7" s="6" t="n">
        <v>1</v>
      </c>
      <c r="E7" s="2" t="s">
        <v>514</v>
      </c>
      <c r="F7" s="2" t="s">
        <v>518</v>
      </c>
      <c r="G7" s="2" t="s">
        <v>669</v>
      </c>
    </row>
    <row r="8" customFormat="false" ht="15" hidden="false" customHeight="false" outlineLevel="0" collapsed="false">
      <c r="A8" s="2" t="s">
        <v>670</v>
      </c>
      <c r="B8" s="6" t="n">
        <v>0.85</v>
      </c>
      <c r="C8" s="6" t="n">
        <v>0.85</v>
      </c>
      <c r="D8" s="6" t="n">
        <v>0.85</v>
      </c>
      <c r="E8" s="2" t="s">
        <v>514</v>
      </c>
      <c r="F8" s="2" t="s">
        <v>518</v>
      </c>
      <c r="G8" s="2" t="s">
        <v>671</v>
      </c>
    </row>
    <row r="9" customFormat="false" ht="15" hidden="false" customHeight="false" outlineLevel="0" collapsed="false">
      <c r="A9" s="2" t="s">
        <v>672</v>
      </c>
      <c r="B9" s="6" t="n">
        <v>0.4</v>
      </c>
      <c r="C9" s="6" t="n">
        <v>0.6</v>
      </c>
      <c r="D9" s="6" t="n">
        <v>0.8</v>
      </c>
      <c r="E9" s="2" t="s">
        <v>514</v>
      </c>
      <c r="F9" s="2" t="s">
        <v>518</v>
      </c>
      <c r="G9" s="2" t="s">
        <v>673</v>
      </c>
    </row>
    <row r="10" customFormat="false" ht="15" hidden="false" customHeight="false" outlineLevel="0" collapsed="false">
      <c r="A10" s="2" t="s">
        <v>674</v>
      </c>
      <c r="B10" s="6" t="n">
        <v>2.3</v>
      </c>
      <c r="C10" s="6" t="n">
        <v>2.6</v>
      </c>
      <c r="D10" s="6" t="n">
        <v>3.1</v>
      </c>
      <c r="E10" s="2" t="s">
        <v>547</v>
      </c>
      <c r="F10" s="2" t="s">
        <v>548</v>
      </c>
      <c r="G10" s="2" t="s">
        <v>675</v>
      </c>
    </row>
    <row r="11" customFormat="false" ht="15" hidden="false" customHeight="false" outlineLevel="0" collapsed="false">
      <c r="A11" s="2" t="s">
        <v>676</v>
      </c>
      <c r="B11" s="6" t="n">
        <v>3.14</v>
      </c>
      <c r="C11" s="6" t="n">
        <v>3.14</v>
      </c>
      <c r="D11" s="6" t="n">
        <v>3.14</v>
      </c>
      <c r="E11" s="2" t="s">
        <v>547</v>
      </c>
      <c r="F11" s="2" t="s">
        <v>548</v>
      </c>
      <c r="G11" s="2" t="s">
        <v>677</v>
      </c>
    </row>
    <row r="12" customFormat="false" ht="15" hidden="false" customHeight="false" outlineLevel="0" collapsed="false">
      <c r="A12" s="2" t="s">
        <v>551</v>
      </c>
      <c r="B12" s="6" t="n">
        <v>0.1</v>
      </c>
      <c r="C12" s="6" t="n">
        <v>0.5</v>
      </c>
      <c r="D12" s="6" t="n">
        <v>0.8</v>
      </c>
      <c r="E12" s="2" t="s">
        <v>514</v>
      </c>
      <c r="F12" s="2" t="s">
        <v>518</v>
      </c>
      <c r="G12" s="2" t="s">
        <v>678</v>
      </c>
    </row>
    <row r="13" customFormat="false" ht="15" hidden="false" customHeight="false" outlineLevel="0" collapsed="false">
      <c r="A13" s="2" t="s">
        <v>679</v>
      </c>
      <c r="B13" s="6" t="n">
        <v>0.5</v>
      </c>
      <c r="C13" s="6" t="n">
        <v>0.7</v>
      </c>
      <c r="D13" s="6" t="n">
        <v>1</v>
      </c>
      <c r="E13" s="2" t="s">
        <v>680</v>
      </c>
      <c r="F13" s="2" t="s">
        <v>518</v>
      </c>
      <c r="G13" s="2" t="s">
        <v>681</v>
      </c>
    </row>
    <row r="14" customFormat="false" ht="15" hidden="false" customHeight="false" outlineLevel="0" collapsed="false">
      <c r="A14" s="2" t="s">
        <v>682</v>
      </c>
      <c r="B14" s="6" t="n">
        <v>5</v>
      </c>
      <c r="C14" s="6" t="n">
        <v>6</v>
      </c>
      <c r="D14" s="6" t="n">
        <v>8</v>
      </c>
      <c r="E14" s="2" t="s">
        <v>680</v>
      </c>
      <c r="F14" s="2" t="s">
        <v>518</v>
      </c>
      <c r="G14" s="2" t="s">
        <v>683</v>
      </c>
    </row>
    <row r="15" customFormat="false" ht="15" hidden="false" customHeight="false" outlineLevel="0" collapsed="false">
      <c r="A15" s="2" t="s">
        <v>684</v>
      </c>
      <c r="B15" s="6" t="n">
        <v>25</v>
      </c>
      <c r="C15" s="6" t="n">
        <v>32</v>
      </c>
      <c r="D15" s="6" t="n">
        <v>40</v>
      </c>
      <c r="E15" s="2" t="s">
        <v>680</v>
      </c>
      <c r="F15" s="2" t="s">
        <v>518</v>
      </c>
      <c r="G15" s="2" t="s">
        <v>685</v>
      </c>
    </row>
    <row r="16" customFormat="false" ht="15" hidden="false" customHeight="false" outlineLevel="0" collapsed="false">
      <c r="A16" s="2" t="s">
        <v>686</v>
      </c>
      <c r="B16" s="6" t="n">
        <v>10</v>
      </c>
      <c r="C16" s="6" t="n">
        <v>13</v>
      </c>
      <c r="D16" s="6" t="n">
        <v>16</v>
      </c>
      <c r="E16" s="2" t="s">
        <v>680</v>
      </c>
      <c r="F16" s="2" t="s">
        <v>518</v>
      </c>
      <c r="G16" s="2" t="s">
        <v>687</v>
      </c>
    </row>
    <row r="17" customFormat="false" ht="15" hidden="false" customHeight="false" outlineLevel="0" collapsed="false">
      <c r="A17" s="2" t="s">
        <v>688</v>
      </c>
      <c r="B17" s="6" t="n">
        <v>80</v>
      </c>
      <c r="C17" s="6" t="n">
        <v>100</v>
      </c>
      <c r="D17" s="6" t="n">
        <v>120</v>
      </c>
      <c r="E17" s="2" t="s">
        <v>680</v>
      </c>
      <c r="F17" s="2" t="s">
        <v>518</v>
      </c>
      <c r="G17" s="2" t="s">
        <v>689</v>
      </c>
    </row>
    <row r="18" customFormat="false" ht="15" hidden="false" customHeight="false" outlineLevel="0" collapsed="false">
      <c r="A18" s="2" t="s">
        <v>690</v>
      </c>
      <c r="B18" s="6" t="n">
        <v>0.03</v>
      </c>
      <c r="C18" s="6" t="n">
        <v>0.06</v>
      </c>
      <c r="D18" s="6" t="n">
        <v>0.11</v>
      </c>
      <c r="E18" s="2" t="s">
        <v>514</v>
      </c>
      <c r="F18" s="2" t="s">
        <v>691</v>
      </c>
      <c r="G18" s="2" t="s">
        <v>692</v>
      </c>
    </row>
    <row r="19" customFormat="false" ht="15" hidden="false" customHeight="false" outlineLevel="0" collapsed="false">
      <c r="A19" s="2" t="s">
        <v>693</v>
      </c>
      <c r="B19" s="6" t="n">
        <v>0.052</v>
      </c>
      <c r="C19" s="6" t="n">
        <v>0.071</v>
      </c>
      <c r="D19" s="6" t="n">
        <v>0.09</v>
      </c>
      <c r="E19" s="2" t="s">
        <v>514</v>
      </c>
      <c r="F19" s="2" t="s">
        <v>506</v>
      </c>
      <c r="G19" s="2" t="s">
        <v>694</v>
      </c>
    </row>
    <row r="20" customFormat="false" ht="15" hidden="false" customHeight="false" outlineLevel="0" collapsed="false">
      <c r="A20" s="2" t="s">
        <v>695</v>
      </c>
      <c r="B20" s="6" t="n">
        <v>0.011</v>
      </c>
      <c r="C20" s="6" t="n">
        <v>0.027</v>
      </c>
      <c r="D20" s="6" t="n">
        <v>0.04</v>
      </c>
      <c r="E20" s="2" t="s">
        <v>514</v>
      </c>
      <c r="F20" s="2" t="s">
        <v>506</v>
      </c>
      <c r="G20" s="2" t="s">
        <v>696</v>
      </c>
    </row>
    <row r="21" customFormat="false" ht="15" hidden="false" customHeight="false" outlineLevel="0" collapsed="false">
      <c r="A21" s="2" t="s">
        <v>697</v>
      </c>
      <c r="B21" s="6" t="n">
        <v>0.02</v>
      </c>
      <c r="C21" s="6" t="n">
        <v>0.032</v>
      </c>
      <c r="D21" s="6" t="n">
        <v>0.045</v>
      </c>
      <c r="E21" s="2" t="s">
        <v>514</v>
      </c>
      <c r="F21" s="2" t="s">
        <v>506</v>
      </c>
      <c r="G21" s="2" t="s">
        <v>698</v>
      </c>
    </row>
    <row r="22" customFormat="false" ht="15" hidden="false" customHeight="false" outlineLevel="0" collapsed="false">
      <c r="A22" s="2" t="s">
        <v>699</v>
      </c>
      <c r="B22" s="6" t="n">
        <v>0</v>
      </c>
      <c r="C22" s="6" t="n">
        <v>0.02</v>
      </c>
      <c r="D22" s="6" t="n">
        <v>0.05</v>
      </c>
      <c r="E22" s="2" t="s">
        <v>514</v>
      </c>
      <c r="F22" s="2" t="s">
        <v>518</v>
      </c>
      <c r="G22" s="2" t="s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9" min="3" style="0" width="16"/>
  </cols>
  <sheetData>
    <row r="1" customFormat="false" ht="15" hidden="false" customHeight="false" outlineLevel="0" collapsed="false">
      <c r="A1" s="4" t="s">
        <v>701</v>
      </c>
    </row>
    <row r="3" customFormat="false" ht="26.85" hidden="false" customHeight="false" outlineLevel="0" collapsed="false">
      <c r="A3" s="5" t="s">
        <v>588</v>
      </c>
      <c r="B3" s="5" t="s">
        <v>702</v>
      </c>
      <c r="C3" s="5" t="s">
        <v>703</v>
      </c>
      <c r="D3" s="5" t="s">
        <v>704</v>
      </c>
      <c r="E3" s="5" t="s">
        <v>705</v>
      </c>
      <c r="F3" s="5" t="s">
        <v>706</v>
      </c>
      <c r="G3" s="5" t="s">
        <v>707</v>
      </c>
      <c r="H3" s="5" t="s">
        <v>708</v>
      </c>
      <c r="I3" s="5" t="s">
        <v>709</v>
      </c>
    </row>
    <row r="4" customFormat="false" ht="15" hidden="false" customHeight="false" outlineLevel="0" collapsed="false">
      <c r="A4" s="2" t="s">
        <v>710</v>
      </c>
      <c r="B4" s="2" t="s">
        <v>711</v>
      </c>
      <c r="C4" s="7" t="n">
        <v>0.620030485652051</v>
      </c>
      <c r="D4" s="7" t="n">
        <v>0.434900820700043</v>
      </c>
      <c r="E4" s="7" t="n">
        <v>0.868742928362462</v>
      </c>
      <c r="F4" s="7" t="n">
        <v>0.869179750381206</v>
      </c>
      <c r="G4" s="7" t="n">
        <v>0.626859230939355</v>
      </c>
      <c r="H4" s="7" t="n">
        <v>1.17452269642708</v>
      </c>
      <c r="I4" s="7" t="n">
        <v>1.38032632266274</v>
      </c>
    </row>
    <row r="5" customFormat="false" ht="15" hidden="false" customHeight="false" outlineLevel="0" collapsed="false">
      <c r="A5" s="2" t="s">
        <v>710</v>
      </c>
      <c r="B5" s="2" t="s">
        <v>712</v>
      </c>
      <c r="C5" s="7" t="n">
        <v>0.494974507993736</v>
      </c>
      <c r="D5" s="7" t="n">
        <v>0.383395684697558</v>
      </c>
      <c r="E5" s="7" t="n">
        <v>0.629202553559808</v>
      </c>
      <c r="F5" s="7" t="n">
        <v>0.750093425845676</v>
      </c>
      <c r="G5" s="7" t="n">
        <v>0.588747941479946</v>
      </c>
      <c r="H5" s="7" t="n">
        <v>0.938302024002424</v>
      </c>
      <c r="I5" s="7" t="n">
        <v>1.50148462413258</v>
      </c>
    </row>
    <row r="6" customFormat="false" ht="15" hidden="false" customHeight="false" outlineLevel="0" collapsed="false">
      <c r="A6" s="2" t="s">
        <v>710</v>
      </c>
      <c r="B6" s="2" t="s">
        <v>713</v>
      </c>
      <c r="C6" s="7" t="n">
        <v>0.138990919408102</v>
      </c>
      <c r="D6" s="7" t="n">
        <v>0.106764513333318</v>
      </c>
      <c r="E6" s="7" t="n">
        <v>0.177724050367827</v>
      </c>
      <c r="F6" s="7" t="n">
        <v>0.217431249530861</v>
      </c>
      <c r="G6" s="7" t="n">
        <v>0.164024776134357</v>
      </c>
      <c r="H6" s="7" t="n">
        <v>0.284753103772378</v>
      </c>
      <c r="I6" s="7" t="n">
        <v>1.54398909104224</v>
      </c>
    </row>
    <row r="7" customFormat="false" ht="15" hidden="false" customHeight="false" outlineLevel="0" collapsed="false">
      <c r="A7" s="2" t="s">
        <v>710</v>
      </c>
      <c r="B7" s="2" t="s">
        <v>714</v>
      </c>
      <c r="C7" s="7" t="n">
        <v>0.136629043144268</v>
      </c>
      <c r="D7" s="7" t="n">
        <v>0.107193804345107</v>
      </c>
      <c r="E7" s="7" t="n">
        <v>0.171655869635166</v>
      </c>
      <c r="F7" s="7" t="n">
        <v>0.30310569769195</v>
      </c>
      <c r="G7" s="7" t="n">
        <v>0.217386697139173</v>
      </c>
      <c r="H7" s="7" t="n">
        <v>0.42768223782853</v>
      </c>
      <c r="I7" s="7" t="n">
        <v>2.21069130919715</v>
      </c>
    </row>
    <row r="8" customFormat="false" ht="15" hidden="false" customHeight="false" outlineLevel="0" collapsed="false">
      <c r="A8" s="2" t="s">
        <v>715</v>
      </c>
      <c r="B8" s="2" t="s">
        <v>711</v>
      </c>
      <c r="C8" s="7" t="n">
        <v>0.476410000793912</v>
      </c>
      <c r="D8" s="7" t="n">
        <v>0.333038689704872</v>
      </c>
      <c r="E8" s="7" t="n">
        <v>0.671778147777521</v>
      </c>
      <c r="F8" s="7" t="n">
        <v>0.714838462904811</v>
      </c>
      <c r="G8" s="7" t="n">
        <v>0.511717229774663</v>
      </c>
      <c r="H8" s="7" t="n">
        <v>0.973675695114038</v>
      </c>
      <c r="I8" s="7" t="n">
        <v>1.47163206341493</v>
      </c>
    </row>
    <row r="9" customFormat="false" ht="15" hidden="false" customHeight="false" outlineLevel="0" collapsed="false">
      <c r="A9" s="2" t="s">
        <v>715</v>
      </c>
      <c r="B9" s="2" t="s">
        <v>712</v>
      </c>
      <c r="C9" s="7" t="n">
        <v>0.401693405953649</v>
      </c>
      <c r="D9" s="7" t="n">
        <v>0.316777398329133</v>
      </c>
      <c r="E9" s="7" t="n">
        <v>0.503332856174648</v>
      </c>
      <c r="F9" s="7" t="n">
        <v>0.64789392044954</v>
      </c>
      <c r="G9" s="7" t="n">
        <v>0.508765984105176</v>
      </c>
      <c r="H9" s="7" t="n">
        <v>0.813900578252187</v>
      </c>
      <c r="I9" s="7" t="n">
        <v>1.60053917499011</v>
      </c>
    </row>
    <row r="10" customFormat="false" ht="15" hidden="false" customHeight="false" outlineLevel="0" collapsed="false">
      <c r="A10" s="2" t="s">
        <v>715</v>
      </c>
      <c r="B10" s="2" t="s">
        <v>713</v>
      </c>
      <c r="C10" s="7" t="n">
        <v>0.106741541886985</v>
      </c>
      <c r="D10" s="7" t="n">
        <v>0.0820567660682486</v>
      </c>
      <c r="E10" s="7" t="n">
        <v>0.137912706059359</v>
      </c>
      <c r="F10" s="7" t="n">
        <v>0.183938398369159</v>
      </c>
      <c r="G10" s="7" t="n">
        <v>0.136001423475079</v>
      </c>
      <c r="H10" s="7" t="n">
        <v>0.247315523353284</v>
      </c>
      <c r="I10" s="7" t="n">
        <v>1.69992762433292</v>
      </c>
    </row>
    <row r="11" customFormat="false" ht="15" hidden="false" customHeight="false" outlineLevel="0" collapsed="false">
      <c r="A11" s="2" t="s">
        <v>715</v>
      </c>
      <c r="B11" s="2" t="s">
        <v>714</v>
      </c>
      <c r="C11" s="7" t="n">
        <v>0.107946680689323</v>
      </c>
      <c r="D11" s="7" t="n">
        <v>0.0871643475455254</v>
      </c>
      <c r="E11" s="7" t="n">
        <v>0.131720536550517</v>
      </c>
      <c r="F11" s="7" t="n">
        <v>0.271680831138973</v>
      </c>
      <c r="G11" s="7" t="n">
        <v>0.19053330188675</v>
      </c>
      <c r="H11" s="7" t="n">
        <v>0.394234642628851</v>
      </c>
      <c r="I11" s="7" t="n">
        <v>2.51585244449017</v>
      </c>
    </row>
    <row r="13" customFormat="false" ht="15" hidden="false" customHeight="false" outlineLevel="0" collapsed="false">
      <c r="A13" s="2" t="s">
        <v>716</v>
      </c>
      <c r="B13" s="2" t="s">
        <v>717</v>
      </c>
    </row>
    <row r="14" customFormat="false" ht="15" hidden="false" customHeight="false" outlineLevel="0" collapsed="false">
      <c r="A14" s="2" t="s">
        <v>718</v>
      </c>
      <c r="B14" s="2" t="s">
        <v>719</v>
      </c>
    </row>
    <row r="15" customFormat="false" ht="15" hidden="false" customHeight="false" outlineLevel="0" collapsed="false">
      <c r="A15" s="2" t="s">
        <v>720</v>
      </c>
      <c r="B15" s="2" t="n">
        <v>0.1779</v>
      </c>
    </row>
    <row r="16" customFormat="false" ht="15" hidden="false" customHeight="false" outlineLevel="0" collapsed="false">
      <c r="A16" s="2" t="s">
        <v>721</v>
      </c>
      <c r="B16" s="2" t="n">
        <v>0.2329</v>
      </c>
    </row>
    <row r="17" customFormat="false" ht="15" hidden="false" customHeight="false" outlineLevel="0" collapsed="false">
      <c r="A17" s="2" t="s">
        <v>722</v>
      </c>
      <c r="B17" s="2" t="s">
        <v>723</v>
      </c>
    </row>
    <row r="18" customFormat="false" ht="15" hidden="false" customHeight="false" outlineLevel="0" collapsed="false">
      <c r="A18" s="2" t="s">
        <v>724</v>
      </c>
      <c r="B18" s="2" t="s">
        <v>725</v>
      </c>
    </row>
    <row r="19" customFormat="false" ht="15" hidden="false" customHeight="false" outlineLevel="0" collapsed="false">
      <c r="A19" s="2" t="s">
        <v>726</v>
      </c>
      <c r="B19" s="2" t="s">
        <v>727</v>
      </c>
    </row>
    <row r="20" customFormat="false" ht="15" hidden="false" customHeight="false" outlineLevel="0" collapsed="false">
      <c r="A20" s="2" t="s">
        <v>728</v>
      </c>
      <c r="B20" s="2" t="n">
        <v>0.53425</v>
      </c>
    </row>
    <row r="21" customFormat="false" ht="15" hidden="false" customHeight="false" outlineLevel="0" collapsed="false">
      <c r="A21" s="2" t="s">
        <v>729</v>
      </c>
      <c r="B21" s="2" t="n">
        <v>0.0371</v>
      </c>
    </row>
    <row r="22" customFormat="false" ht="15" hidden="false" customHeight="false" outlineLevel="0" collapsed="false">
      <c r="A22" s="2" t="s">
        <v>730</v>
      </c>
      <c r="B22" s="2" t="s">
        <v>731</v>
      </c>
    </row>
    <row r="23" customFormat="false" ht="15" hidden="false" customHeight="false" outlineLevel="0" collapsed="false">
      <c r="A23" s="2" t="s">
        <v>732</v>
      </c>
      <c r="B23" s="2" t="s">
        <v>733</v>
      </c>
    </row>
    <row r="24" customFormat="false" ht="15" hidden="false" customHeight="false" outlineLevel="0" collapsed="false">
      <c r="A24" s="2" t="s">
        <v>734</v>
      </c>
      <c r="B24" s="2" t="n">
        <v>0.6005</v>
      </c>
    </row>
    <row r="25" customFormat="false" ht="15" hidden="false" customHeight="false" outlineLevel="0" collapsed="false">
      <c r="A25" s="2" t="s">
        <v>735</v>
      </c>
      <c r="B25" s="2" t="n">
        <v>6.95238119082461</v>
      </c>
    </row>
    <row r="26" customFormat="false" ht="15" hidden="false" customHeight="false" outlineLevel="0" collapsed="false">
      <c r="A26" s="2" t="s">
        <v>736</v>
      </c>
      <c r="B26" s="2" t="n">
        <v>-7.40691715854981</v>
      </c>
    </row>
    <row r="27" customFormat="false" ht="15" hidden="false" customHeight="false" outlineLevel="0" collapsed="false">
      <c r="A27" s="2" t="s">
        <v>737</v>
      </c>
      <c r="B27" s="2" t="n">
        <v>86.617355298272</v>
      </c>
    </row>
    <row r="30" customFormat="false" ht="15" hidden="false" customHeight="false" outlineLevel="0" collapsed="false">
      <c r="A30" s="3" t="s">
        <v>738</v>
      </c>
    </row>
    <row r="31" customFormat="false" ht="39.55" hidden="false" customHeight="false" outlineLevel="0" collapsed="false">
      <c r="A31" s="12" t="s">
        <v>702</v>
      </c>
      <c r="B31" s="12" t="s">
        <v>739</v>
      </c>
      <c r="C31" s="12" t="s">
        <v>740</v>
      </c>
      <c r="D31" s="12" t="s">
        <v>741</v>
      </c>
      <c r="E31" s="12" t="s">
        <v>742</v>
      </c>
      <c r="F31" s="12" t="s">
        <v>743</v>
      </c>
      <c r="G31" s="12" t="s">
        <v>744</v>
      </c>
      <c r="H31" s="12" t="s">
        <v>745</v>
      </c>
    </row>
    <row r="32" customFormat="false" ht="15" hidden="false" customHeight="false" outlineLevel="0" collapsed="false">
      <c r="A32" s="2" t="s">
        <v>711</v>
      </c>
      <c r="B32" s="11" t="n">
        <f aca="false">S11_Honest_unit_params!$C$14</f>
        <v>6</v>
      </c>
      <c r="C32" s="11" t="n">
        <f aca="false">S11_Honest_unit_params!$C$13</f>
        <v>0.7</v>
      </c>
      <c r="D32" s="7" t="n">
        <f aca="false">C32*S11_Honest_unit_params!$C$3+C32*S11_Honest_unit_params!$C$12*S11_Honest_unit_params!$C$10</f>
        <v>3.71</v>
      </c>
      <c r="E32" s="7" t="n">
        <f aca="false">1-S11_Honest_unit_params!$C$18</f>
        <v>0.94</v>
      </c>
      <c r="F32" s="7" t="n">
        <f aca="false">D32/B32</f>
        <v>0.618333333333333</v>
      </c>
      <c r="G32" s="7" t="n">
        <f aca="false">(D32+S11_Honest_unit_params!$C$2*B32)/(B32*E32)-S11_Honest_unit_params!$C$2</f>
        <v>0.817375886524823</v>
      </c>
      <c r="H32" s="7" t="n">
        <f aca="false">G32/F32</f>
        <v>1.32190170327465</v>
      </c>
    </row>
    <row r="33" customFormat="false" ht="15" hidden="false" customHeight="false" outlineLevel="0" collapsed="false">
      <c r="A33" s="2" t="s">
        <v>712</v>
      </c>
      <c r="B33" s="2" t="n">
        <v>200</v>
      </c>
      <c r="C33" s="11" t="n">
        <f aca="false">S11_Honest_unit_params!$C$15</f>
        <v>32</v>
      </c>
      <c r="D33" s="7" t="n">
        <f aca="false">C33*S11_Honest_unit_params!$C$4-C33*S11_Honest_unit_params!$C$9*S11_Honest_unit_params!$C$8*S11_Honest_unit_params!$C$7*S11_Honest_unit_params!$C$6+C33*(1-S11_Honest_unit_params!$C$9)*S11_Honest_unit_params!$C$12*S11_Honest_unit_params!$C$11</f>
        <v>99.088</v>
      </c>
      <c r="E33" s="7" t="n">
        <f aca="false">1-S11_Honest_unit_params!$C$19</f>
        <v>0.929</v>
      </c>
      <c r="F33" s="7" t="n">
        <f aca="false">D33/B33</f>
        <v>0.49544</v>
      </c>
      <c r="G33" s="7" t="n">
        <f aca="false">(D33+S11_Honest_unit_params!$C$2*B33)/(B33*E33)-S11_Honest_unit_params!$C$2</f>
        <v>0.724370290635091</v>
      </c>
      <c r="H33" s="7" t="n">
        <f aca="false">G33/F33</f>
        <v>1.46207470255751</v>
      </c>
    </row>
    <row r="34" customFormat="false" ht="15" hidden="false" customHeight="false" outlineLevel="0" collapsed="false">
      <c r="A34" s="2" t="s">
        <v>713</v>
      </c>
      <c r="B34" s="2" t="n">
        <v>500</v>
      </c>
      <c r="C34" s="11" t="n">
        <f aca="false">S11_Honest_unit_params!$C$16</f>
        <v>13</v>
      </c>
      <c r="D34" s="7" t="n">
        <f aca="false">C34*S11_Honest_unit_params!$C$3+C34*S11_Honest_unit_params!$C$12*S11_Honest_unit_params!$C$10</f>
        <v>68.9</v>
      </c>
      <c r="E34" s="7" t="n">
        <f aca="false">1-S11_Honest_unit_params!$C$20</f>
        <v>0.973</v>
      </c>
      <c r="F34" s="7" t="n">
        <f aca="false">D34/B34</f>
        <v>0.1378</v>
      </c>
      <c r="G34" s="7" t="n">
        <f aca="false">(D34+S11_Honest_unit_params!$C$2*B34)/(B34*E34)-S11_Honest_unit_params!$C$2</f>
        <v>0.210996916752312</v>
      </c>
      <c r="H34" s="7" t="n">
        <f aca="false">G34/F34</f>
        <v>1.5311822696104</v>
      </c>
    </row>
    <row r="35" customFormat="false" ht="15" hidden="false" customHeight="false" outlineLevel="0" collapsed="false">
      <c r="A35" s="2" t="s">
        <v>714</v>
      </c>
      <c r="B35" s="2" t="n">
        <v>2000</v>
      </c>
      <c r="C35" s="11" t="n">
        <f aca="false">S11_Honest_unit_params!$C$17</f>
        <v>100</v>
      </c>
      <c r="D35" s="7" t="n">
        <f aca="false">C35*S11_Honest_unit_params!$C$5-C35*S11_Honest_unit_params!$C$9*S11_Honest_unit_params!$C$8*S11_Honest_unit_params!$C$7*S11_Honest_unit_params!$C$6+C35*(1-S11_Honest_unit_params!$C$9)*S11_Honest_unit_params!$C$12*S11_Honest_unit_params!$C$11</f>
        <v>279.65</v>
      </c>
      <c r="E35" s="7" t="n">
        <f aca="false">(1-S11_Honest_unit_params!$C$21)*(1-S11_Honest_unit_params!$C$22)</f>
        <v>0.94864</v>
      </c>
      <c r="F35" s="7" t="n">
        <f aca="false">D35/B35</f>
        <v>0.139825</v>
      </c>
      <c r="G35" s="7" t="n">
        <f aca="false">(D35+S11_Honest_unit_params!$C$2*B35)/(B35*E35)-S11_Honest_unit_params!$C$2</f>
        <v>0.282746879743633</v>
      </c>
      <c r="H35" s="7" t="n">
        <f aca="false">G35/F35</f>
        <v>2.02214825491602</v>
      </c>
    </row>
    <row r="37" customFormat="false" ht="15" hidden="false" customHeight="false" outlineLevel="0" collapsed="false">
      <c r="A37" s="3" t="s">
        <v>746</v>
      </c>
      <c r="F37" s="13" t="n">
        <f aca="false">F32/F33</f>
        <v>1.2480488723828</v>
      </c>
      <c r="G37" s="13" t="n">
        <f aca="false">G32/G33</f>
        <v>1.12839509998152</v>
      </c>
    </row>
    <row r="38" customFormat="false" ht="15" hidden="false" customHeight="false" outlineLevel="0" collapsed="false">
      <c r="A38" s="3" t="s">
        <v>747</v>
      </c>
      <c r="F38" s="13" t="n">
        <f aca="false">F35/F34</f>
        <v>1.01469521044993</v>
      </c>
      <c r="G38" s="13" t="n">
        <f aca="false">G35/G34</f>
        <v>1.34005218699734</v>
      </c>
    </row>
    <row r="40" customFormat="false" ht="15" hidden="false" customHeight="false" outlineLevel="0" collapsed="false">
      <c r="A40" s="3" t="s">
        <v>748</v>
      </c>
    </row>
    <row r="41" customFormat="false" ht="15" hidden="false" customHeight="false" outlineLevel="0" collapsed="false">
      <c r="A41" s="2" t="s">
        <v>679</v>
      </c>
      <c r="B41" s="10" t="n">
        <v>0.527826529547566</v>
      </c>
    </row>
    <row r="42" customFormat="false" ht="15" hidden="false" customHeight="false" outlineLevel="0" collapsed="false">
      <c r="A42" s="2" t="s">
        <v>682</v>
      </c>
      <c r="B42" s="10" t="n">
        <v>-0.359438704203097</v>
      </c>
    </row>
    <row r="43" customFormat="false" ht="15" hidden="false" customHeight="false" outlineLevel="0" collapsed="false">
      <c r="A43" s="2" t="s">
        <v>690</v>
      </c>
      <c r="B43" s="10" t="n">
        <v>0.357109305793773</v>
      </c>
    </row>
    <row r="44" customFormat="false" ht="15" hidden="false" customHeight="false" outlineLevel="0" collapsed="false">
      <c r="A44" s="2" t="s">
        <v>660</v>
      </c>
      <c r="B44" s="10" t="n">
        <v>0.345427637282569</v>
      </c>
    </row>
    <row r="45" customFormat="false" ht="15" hidden="false" customHeight="false" outlineLevel="0" collapsed="false">
      <c r="A45" s="2" t="s">
        <v>684</v>
      </c>
      <c r="B45" s="10" t="n">
        <v>-0.326405290657513</v>
      </c>
    </row>
    <row r="46" customFormat="false" ht="15" hidden="false" customHeight="false" outlineLevel="0" collapsed="false">
      <c r="A46" s="2" t="s">
        <v>662</v>
      </c>
      <c r="B46" s="10" t="n">
        <v>-0.250909621104274</v>
      </c>
    </row>
    <row r="47" customFormat="false" ht="15" hidden="false" customHeight="false" outlineLevel="0" collapsed="false">
      <c r="A47" s="2" t="s">
        <v>693</v>
      </c>
      <c r="B47" s="10" t="n">
        <v>-0.181787718997469</v>
      </c>
    </row>
    <row r="48" customFormat="false" ht="15" hidden="false" customHeight="false" outlineLevel="0" collapsed="false">
      <c r="A48" s="2" t="s">
        <v>672</v>
      </c>
      <c r="B48" s="10" t="n">
        <v>0.18086414859066</v>
      </c>
    </row>
    <row r="49" customFormat="false" ht="15" hidden="false" customHeight="false" outlineLevel="0" collapsed="false">
      <c r="A49" s="2" t="s">
        <v>668</v>
      </c>
      <c r="B49" s="10" t="n">
        <v>0.120783326752958</v>
      </c>
    </row>
    <row r="50" customFormat="false" ht="15" hidden="false" customHeight="false" outlineLevel="0" collapsed="false">
      <c r="A50" s="2" t="s">
        <v>657</v>
      </c>
      <c r="B50" s="10" t="n">
        <v>-0.0758058148250145</v>
      </c>
    </row>
    <row r="51" customFormat="false" ht="15" hidden="false" customHeight="false" outlineLevel="0" collapsed="false">
      <c r="A51" s="2" t="s">
        <v>551</v>
      </c>
      <c r="B51" s="10" t="n">
        <v>0.0611804855384512</v>
      </c>
    </row>
    <row r="52" customFormat="false" ht="15" hidden="false" customHeight="false" outlineLevel="0" collapsed="false">
      <c r="A52" s="2" t="s">
        <v>674</v>
      </c>
      <c r="B52" s="10" t="n">
        <v>0.0466421568731053</v>
      </c>
    </row>
    <row r="53" customFormat="false" ht="15" hidden="false" customHeight="false" outlineLevel="0" collapsed="false">
      <c r="A53" s="2" t="s">
        <v>666</v>
      </c>
      <c r="B53" s="10" t="n">
        <v>0.0348865489817163</v>
      </c>
    </row>
    <row r="54" customFormat="false" ht="15" hidden="false" customHeight="false" outlineLevel="0" collapsed="false">
      <c r="A54" s="2" t="s">
        <v>664</v>
      </c>
      <c r="B54" s="10" t="n">
        <v>0.0081245828768114</v>
      </c>
    </row>
    <row r="55" customFormat="false" ht="15" hidden="false" customHeight="false" outlineLevel="0" collapsed="false">
      <c r="A55" s="2" t="s">
        <v>699</v>
      </c>
      <c r="B55" s="10" t="n">
        <v>-0.007609632418024</v>
      </c>
    </row>
    <row r="56" customFormat="false" ht="15" hidden="false" customHeight="false" outlineLevel="0" collapsed="false">
      <c r="A56" s="2" t="s">
        <v>697</v>
      </c>
      <c r="B56" s="10" t="n">
        <v>0.0074987102002467</v>
      </c>
    </row>
    <row r="57" customFormat="false" ht="15" hidden="false" customHeight="false" outlineLevel="0" collapsed="false">
      <c r="A57" s="2" t="s">
        <v>695</v>
      </c>
      <c r="B57" s="10" t="n">
        <v>-0.0050026584755066</v>
      </c>
    </row>
    <row r="58" customFormat="false" ht="15" hidden="false" customHeight="false" outlineLevel="0" collapsed="false">
      <c r="A58" s="2" t="s">
        <v>688</v>
      </c>
      <c r="B58" s="10" t="n">
        <v>-0.0041016507777541</v>
      </c>
    </row>
    <row r="59" customFormat="false" ht="15" hidden="false" customHeight="false" outlineLevel="0" collapsed="false">
      <c r="A59" s="2" t="s">
        <v>686</v>
      </c>
      <c r="B59" s="10" t="n">
        <v>5.69966596424916E-005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6" min="5" style="0" width="30"/>
    <col collapsed="false" customWidth="true" hidden="false" outlineLevel="0" max="8" min="7" style="0" width="60"/>
  </cols>
  <sheetData>
    <row r="1" customFormat="false" ht="15" hidden="false" customHeight="false" outlineLevel="0" collapsed="false">
      <c r="A1" s="5" t="s">
        <v>749</v>
      </c>
      <c r="B1" s="5" t="s">
        <v>502</v>
      </c>
      <c r="C1" s="5" t="s">
        <v>750</v>
      </c>
      <c r="D1" s="5" t="s">
        <v>751</v>
      </c>
      <c r="E1" s="5" t="s">
        <v>752</v>
      </c>
      <c r="F1" s="5" t="s">
        <v>753</v>
      </c>
      <c r="G1" s="5" t="s">
        <v>754</v>
      </c>
      <c r="H1" s="5" t="s">
        <v>755</v>
      </c>
    </row>
    <row r="2" customFormat="false" ht="15" hidden="false" customHeight="false" outlineLevel="0" collapsed="false">
      <c r="A2" s="2" t="s">
        <v>756</v>
      </c>
      <c r="B2" s="2" t="s">
        <v>757</v>
      </c>
      <c r="C2" s="2" t="s">
        <v>386</v>
      </c>
      <c r="D2" s="2" t="s">
        <v>758</v>
      </c>
      <c r="E2" s="2" t="s">
        <v>759</v>
      </c>
      <c r="F2" s="2" t="s">
        <v>760</v>
      </c>
      <c r="G2" s="2" t="s">
        <v>761</v>
      </c>
      <c r="H2" s="2" t="s">
        <v>762</v>
      </c>
    </row>
    <row r="3" customFormat="false" ht="15" hidden="false" customHeight="false" outlineLevel="0" collapsed="false">
      <c r="A3" s="2" t="s">
        <v>763</v>
      </c>
      <c r="B3" s="2" t="s">
        <v>764</v>
      </c>
      <c r="C3" s="2" t="s">
        <v>765</v>
      </c>
      <c r="D3" s="2" t="s">
        <v>766</v>
      </c>
      <c r="E3" s="2" t="s">
        <v>767</v>
      </c>
      <c r="F3" s="2" t="s">
        <v>764</v>
      </c>
      <c r="G3" s="2" t="s">
        <v>768</v>
      </c>
      <c r="H3" s="2" t="s">
        <v>762</v>
      </c>
    </row>
    <row r="4" customFormat="false" ht="15" hidden="false" customHeight="false" outlineLevel="0" collapsed="false">
      <c r="A4" s="2" t="s">
        <v>769</v>
      </c>
      <c r="B4" s="2" t="s">
        <v>770</v>
      </c>
      <c r="C4" s="2" t="s">
        <v>771</v>
      </c>
      <c r="D4" s="2" t="s">
        <v>772</v>
      </c>
      <c r="E4" s="2" t="s">
        <v>773</v>
      </c>
      <c r="F4" s="2" t="s">
        <v>774</v>
      </c>
      <c r="G4" s="2" t="s">
        <v>775</v>
      </c>
      <c r="H4" s="2" t="s">
        <v>776</v>
      </c>
    </row>
    <row r="5" customFormat="false" ht="15" hidden="false" customHeight="false" outlineLevel="0" collapsed="false">
      <c r="A5" s="2" t="s">
        <v>777</v>
      </c>
      <c r="B5" s="2" t="s">
        <v>778</v>
      </c>
      <c r="C5" s="2" t="s">
        <v>779</v>
      </c>
      <c r="D5" s="2" t="s">
        <v>780</v>
      </c>
      <c r="E5" s="2" t="s">
        <v>781</v>
      </c>
      <c r="F5" s="2" t="s">
        <v>782</v>
      </c>
      <c r="G5" s="2" t="s">
        <v>783</v>
      </c>
      <c r="H5" s="2" t="s">
        <v>315</v>
      </c>
    </row>
    <row r="6" customFormat="false" ht="15" hidden="false" customHeight="false" outlineLevel="0" collapsed="false">
      <c r="A6" s="2" t="s">
        <v>784</v>
      </c>
      <c r="B6" s="2" t="s">
        <v>785</v>
      </c>
      <c r="C6" s="2" t="s">
        <v>786</v>
      </c>
      <c r="D6" s="2" t="s">
        <v>787</v>
      </c>
      <c r="E6" s="2" t="s">
        <v>788</v>
      </c>
      <c r="F6" s="2" t="s">
        <v>789</v>
      </c>
      <c r="G6" s="2" t="s">
        <v>790</v>
      </c>
      <c r="H6" s="2" t="s">
        <v>791</v>
      </c>
    </row>
    <row r="7" customFormat="false" ht="15" hidden="false" customHeight="false" outlineLevel="0" collapsed="false">
      <c r="A7" s="2" t="s">
        <v>792</v>
      </c>
      <c r="B7" s="2" t="s">
        <v>793</v>
      </c>
      <c r="C7" s="2" t="s">
        <v>794</v>
      </c>
      <c r="D7" s="2" t="s">
        <v>795</v>
      </c>
      <c r="E7" s="2" t="s">
        <v>796</v>
      </c>
      <c r="F7" s="2" t="s">
        <v>797</v>
      </c>
      <c r="G7" s="2" t="s">
        <v>798</v>
      </c>
      <c r="H7" s="2" t="s">
        <v>799</v>
      </c>
    </row>
    <row r="8" customFormat="false" ht="15" hidden="false" customHeight="false" outlineLevel="0" collapsed="false">
      <c r="A8" s="2" t="s">
        <v>800</v>
      </c>
      <c r="B8" s="2" t="s">
        <v>801</v>
      </c>
      <c r="C8" s="2" t="s">
        <v>802</v>
      </c>
      <c r="D8" s="2" t="s">
        <v>803</v>
      </c>
      <c r="E8" s="2" t="s">
        <v>804</v>
      </c>
      <c r="F8" s="2" t="s">
        <v>805</v>
      </c>
      <c r="G8" s="2" t="s">
        <v>806</v>
      </c>
      <c r="H8" s="2" t="s">
        <v>807</v>
      </c>
    </row>
    <row r="9" customFormat="false" ht="15" hidden="false" customHeight="false" outlineLevel="0" collapsed="false">
      <c r="A9" s="2" t="s">
        <v>808</v>
      </c>
      <c r="B9" s="2" t="s">
        <v>809</v>
      </c>
      <c r="C9" s="2" t="s">
        <v>810</v>
      </c>
      <c r="D9" s="2" t="s">
        <v>811</v>
      </c>
      <c r="E9" s="2" t="s">
        <v>812</v>
      </c>
      <c r="F9" s="2" t="s">
        <v>813</v>
      </c>
      <c r="G9" s="2" t="s">
        <v>814</v>
      </c>
      <c r="H9" s="2" t="s">
        <v>815</v>
      </c>
    </row>
    <row r="10" customFormat="false" ht="15" hidden="false" customHeight="false" outlineLevel="0" collapsed="false">
      <c r="A10" s="2" t="s">
        <v>816</v>
      </c>
      <c r="B10" s="2" t="s">
        <v>817</v>
      </c>
      <c r="C10" s="2" t="s">
        <v>802</v>
      </c>
      <c r="D10" s="2" t="s">
        <v>818</v>
      </c>
      <c r="E10" s="2" t="s">
        <v>819</v>
      </c>
      <c r="F10" s="2" t="s">
        <v>820</v>
      </c>
      <c r="G10" s="2" t="s">
        <v>821</v>
      </c>
      <c r="H10" s="2" t="s">
        <v>822</v>
      </c>
    </row>
    <row r="11" customFormat="false" ht="15" hidden="false" customHeight="false" outlineLevel="0" collapsed="false">
      <c r="A11" s="2" t="s">
        <v>823</v>
      </c>
      <c r="B11" s="2" t="s">
        <v>824</v>
      </c>
      <c r="C11" s="2" t="s">
        <v>386</v>
      </c>
      <c r="D11" s="2" t="s">
        <v>825</v>
      </c>
      <c r="E11" s="2" t="s">
        <v>826</v>
      </c>
      <c r="F11" s="2" t="s">
        <v>827</v>
      </c>
      <c r="G11" s="2" t="s">
        <v>828</v>
      </c>
      <c r="H11" s="2" t="s">
        <v>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5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5" t="s">
        <v>27</v>
      </c>
      <c r="B1" s="5" t="s">
        <v>830</v>
      </c>
      <c r="C1" s="5" t="s">
        <v>831</v>
      </c>
    </row>
    <row r="2" customFormat="false" ht="15" hidden="false" customHeight="false" outlineLevel="0" collapsed="false">
      <c r="A2" s="2" t="s">
        <v>832</v>
      </c>
      <c r="B2" s="2" t="s">
        <v>833</v>
      </c>
      <c r="C2" s="2" t="s">
        <v>834</v>
      </c>
    </row>
    <row r="3" customFormat="false" ht="15" hidden="false" customHeight="false" outlineLevel="0" collapsed="false">
      <c r="A3" s="2" t="s">
        <v>835</v>
      </c>
      <c r="B3" s="2" t="s">
        <v>836</v>
      </c>
      <c r="C3" s="2" t="s">
        <v>837</v>
      </c>
    </row>
    <row r="4" customFormat="false" ht="15" hidden="false" customHeight="false" outlineLevel="0" collapsed="false">
      <c r="A4" s="2" t="s">
        <v>838</v>
      </c>
      <c r="B4" s="2" t="s">
        <v>839</v>
      </c>
      <c r="C4" s="2" t="s">
        <v>837</v>
      </c>
    </row>
    <row r="5" customFormat="false" ht="15" hidden="false" customHeight="false" outlineLevel="0" collapsed="false">
      <c r="A5" s="2" t="s">
        <v>840</v>
      </c>
      <c r="B5" s="2" t="s">
        <v>841</v>
      </c>
      <c r="C5" s="2" t="s">
        <v>842</v>
      </c>
    </row>
    <row r="6" customFormat="false" ht="15" hidden="false" customHeight="false" outlineLevel="0" collapsed="false">
      <c r="A6" s="2" t="s">
        <v>843</v>
      </c>
      <c r="B6" s="2" t="s">
        <v>844</v>
      </c>
      <c r="C6" s="2" t="s">
        <v>845</v>
      </c>
    </row>
    <row r="7" customFormat="false" ht="15" hidden="false" customHeight="false" outlineLevel="0" collapsed="false">
      <c r="A7" s="2" t="s">
        <v>846</v>
      </c>
      <c r="B7" s="2" t="s">
        <v>847</v>
      </c>
      <c r="C7" s="2" t="s">
        <v>848</v>
      </c>
    </row>
    <row r="8" customFormat="false" ht="15" hidden="false" customHeight="false" outlineLevel="0" collapsed="false">
      <c r="A8" s="2" t="s">
        <v>849</v>
      </c>
      <c r="B8" s="2" t="s">
        <v>850</v>
      </c>
      <c r="C8" s="2" t="s">
        <v>851</v>
      </c>
    </row>
    <row r="9" customFormat="false" ht="15" hidden="false" customHeight="false" outlineLevel="0" collapsed="false">
      <c r="A9" s="2" t="s">
        <v>852</v>
      </c>
      <c r="B9" s="2" t="s">
        <v>853</v>
      </c>
      <c r="C9" s="2" t="s">
        <v>854</v>
      </c>
    </row>
    <row r="10" customFormat="false" ht="15" hidden="false" customHeight="false" outlineLevel="0" collapsed="false">
      <c r="A10" s="2" t="s">
        <v>855</v>
      </c>
      <c r="B10" s="2" t="s">
        <v>856</v>
      </c>
      <c r="C10" s="2" t="s">
        <v>857</v>
      </c>
    </row>
    <row r="11" customFormat="false" ht="15" hidden="false" customHeight="false" outlineLevel="0" collapsed="false">
      <c r="A11" s="2" t="s">
        <v>858</v>
      </c>
      <c r="B11" s="2" t="s">
        <v>63</v>
      </c>
      <c r="C11" s="2" t="s">
        <v>859</v>
      </c>
    </row>
    <row r="12" customFormat="false" ht="15" hidden="false" customHeight="false" outlineLevel="0" collapsed="false">
      <c r="A12" s="2" t="s">
        <v>860</v>
      </c>
      <c r="B12" s="2" t="s">
        <v>861</v>
      </c>
      <c r="C12" s="2" t="s">
        <v>862</v>
      </c>
    </row>
    <row r="13" customFormat="false" ht="15" hidden="false" customHeight="false" outlineLevel="0" collapsed="false">
      <c r="A13" s="2" t="s">
        <v>863</v>
      </c>
      <c r="B13" s="2" t="s">
        <v>864</v>
      </c>
      <c r="C13" s="2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5"/>
    <col collapsed="false" customWidth="true" hidden="false" outlineLevel="0" max="3" min="3" style="0" width="7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5" t="s">
        <v>866</v>
      </c>
      <c r="B1" s="5" t="s">
        <v>867</v>
      </c>
      <c r="C1" s="5" t="s">
        <v>868</v>
      </c>
      <c r="D1" s="5" t="s">
        <v>869</v>
      </c>
    </row>
    <row r="2" customFormat="false" ht="15" hidden="false" customHeight="false" outlineLevel="0" collapsed="false">
      <c r="A2" s="2" t="s">
        <v>870</v>
      </c>
      <c r="B2" s="2" t="s">
        <v>871</v>
      </c>
      <c r="C2" s="2" t="s">
        <v>872</v>
      </c>
      <c r="D2" s="2" t="s">
        <v>873</v>
      </c>
    </row>
    <row r="3" customFormat="false" ht="15" hidden="false" customHeight="false" outlineLevel="0" collapsed="false">
      <c r="A3" s="2" t="s">
        <v>874</v>
      </c>
      <c r="B3" s="2" t="s">
        <v>875</v>
      </c>
      <c r="C3" s="2" t="s">
        <v>876</v>
      </c>
      <c r="D3" s="2" t="s">
        <v>177</v>
      </c>
    </row>
    <row r="4" customFormat="false" ht="15" hidden="false" customHeight="false" outlineLevel="0" collapsed="false">
      <c r="A4" s="2" t="s">
        <v>877</v>
      </c>
      <c r="B4" s="2" t="s">
        <v>878</v>
      </c>
      <c r="C4" s="2" t="s">
        <v>879</v>
      </c>
      <c r="D4" s="2" t="s">
        <v>76</v>
      </c>
    </row>
    <row r="5" customFormat="false" ht="15" hidden="false" customHeight="false" outlineLevel="0" collapsed="false">
      <c r="A5" s="2" t="s">
        <v>880</v>
      </c>
      <c r="B5" s="2" t="s">
        <v>881</v>
      </c>
      <c r="C5" s="2" t="s">
        <v>882</v>
      </c>
      <c r="D5" s="2" t="s">
        <v>883</v>
      </c>
    </row>
    <row r="6" customFormat="false" ht="15" hidden="false" customHeight="false" outlineLevel="0" collapsed="false">
      <c r="A6" s="2" t="s">
        <v>884</v>
      </c>
      <c r="B6" s="2" t="s">
        <v>885</v>
      </c>
      <c r="C6" s="2" t="s">
        <v>886</v>
      </c>
      <c r="D6" s="2" t="s">
        <v>115</v>
      </c>
    </row>
    <row r="7" customFormat="false" ht="15" hidden="false" customHeight="false" outlineLevel="0" collapsed="false">
      <c r="A7" s="2" t="s">
        <v>887</v>
      </c>
      <c r="B7" s="2" t="s">
        <v>888</v>
      </c>
      <c r="C7" s="2" t="s">
        <v>889</v>
      </c>
      <c r="D7" s="2" t="s">
        <v>126</v>
      </c>
    </row>
    <row r="8" customFormat="false" ht="15" hidden="false" customHeight="false" outlineLevel="0" collapsed="false">
      <c r="A8" s="2" t="s">
        <v>890</v>
      </c>
      <c r="B8" s="2" t="s">
        <v>891</v>
      </c>
      <c r="C8" s="2" t="s">
        <v>892</v>
      </c>
      <c r="D8" s="2" t="s">
        <v>140</v>
      </c>
    </row>
    <row r="9" customFormat="false" ht="15" hidden="false" customHeight="false" outlineLevel="0" collapsed="false">
      <c r="A9" s="2" t="s">
        <v>893</v>
      </c>
      <c r="B9" s="2" t="s">
        <v>894</v>
      </c>
      <c r="C9" s="2" t="s">
        <v>895</v>
      </c>
      <c r="D9" s="2" t="s">
        <v>158</v>
      </c>
    </row>
    <row r="10" customFormat="false" ht="15" hidden="false" customHeight="false" outlineLevel="0" collapsed="false">
      <c r="A10" s="2" t="s">
        <v>896</v>
      </c>
      <c r="B10" s="2" t="s">
        <v>897</v>
      </c>
      <c r="C10" s="2" t="s">
        <v>898</v>
      </c>
      <c r="D10" s="2" t="s">
        <v>415</v>
      </c>
    </row>
    <row r="11" customFormat="false" ht="15" hidden="false" customHeight="false" outlineLevel="0" collapsed="false">
      <c r="A11" s="2" t="s">
        <v>899</v>
      </c>
      <c r="B11" s="2" t="s">
        <v>900</v>
      </c>
      <c r="C11" s="2" t="s">
        <v>901</v>
      </c>
      <c r="D11" s="2" t="s">
        <v>902</v>
      </c>
    </row>
    <row r="12" customFormat="false" ht="15" hidden="false" customHeight="false" outlineLevel="0" collapsed="false">
      <c r="A12" s="2" t="s">
        <v>903</v>
      </c>
      <c r="B12" s="2" t="s">
        <v>904</v>
      </c>
      <c r="C12" s="2" t="s">
        <v>905</v>
      </c>
      <c r="D12" s="2" t="s">
        <v>906</v>
      </c>
    </row>
    <row r="13" customFormat="false" ht="15" hidden="false" customHeight="false" outlineLevel="0" collapsed="false">
      <c r="A13" s="2" t="s">
        <v>907</v>
      </c>
      <c r="B13" s="2" t="s">
        <v>908</v>
      </c>
      <c r="C13" s="2" t="s">
        <v>909</v>
      </c>
      <c r="D13" s="2" t="s">
        <v>910</v>
      </c>
    </row>
    <row r="14" customFormat="false" ht="15" hidden="false" customHeight="false" outlineLevel="0" collapsed="false">
      <c r="A14" s="2" t="s">
        <v>911</v>
      </c>
      <c r="B14" s="2" t="s">
        <v>912</v>
      </c>
      <c r="C14" s="2" t="s">
        <v>913</v>
      </c>
      <c r="D14" s="2" t="s">
        <v>914</v>
      </c>
    </row>
    <row r="15" customFormat="false" ht="15" hidden="false" customHeight="false" outlineLevel="0" collapsed="false">
      <c r="A15" s="2" t="s">
        <v>915</v>
      </c>
      <c r="B15" s="2" t="s">
        <v>916</v>
      </c>
      <c r="C15" s="2" t="s">
        <v>917</v>
      </c>
      <c r="D15" s="2" t="s">
        <v>918</v>
      </c>
    </row>
    <row r="16" customFormat="false" ht="15" hidden="false" customHeight="false" outlineLevel="0" collapsed="false">
      <c r="A16" s="2" t="s">
        <v>919</v>
      </c>
      <c r="B16" s="2" t="s">
        <v>920</v>
      </c>
      <c r="C16" s="2" t="s">
        <v>921</v>
      </c>
      <c r="D16" s="2" t="s">
        <v>189</v>
      </c>
    </row>
    <row r="17" customFormat="false" ht="15" hidden="false" customHeight="false" outlineLevel="0" collapsed="false">
      <c r="A17" s="2" t="s">
        <v>922</v>
      </c>
      <c r="B17" s="2" t="s">
        <v>923</v>
      </c>
      <c r="C17" s="2" t="s">
        <v>924</v>
      </c>
      <c r="D17" s="2" t="s">
        <v>275</v>
      </c>
    </row>
    <row r="18" customFormat="false" ht="15" hidden="false" customHeight="false" outlineLevel="0" collapsed="false">
      <c r="A18" s="2" t="s">
        <v>925</v>
      </c>
      <c r="B18" s="2" t="s">
        <v>926</v>
      </c>
      <c r="C18" s="2" t="s">
        <v>927</v>
      </c>
      <c r="D18" s="2" t="s">
        <v>928</v>
      </c>
    </row>
    <row r="19" customFormat="false" ht="15" hidden="false" customHeight="false" outlineLevel="0" collapsed="false">
      <c r="A19" s="2" t="s">
        <v>929</v>
      </c>
      <c r="B19" s="2" t="s">
        <v>930</v>
      </c>
      <c r="C19" s="2" t="s">
        <v>931</v>
      </c>
      <c r="D19" s="2" t="s">
        <v>799</v>
      </c>
    </row>
    <row r="20" customFormat="false" ht="15" hidden="false" customHeight="false" outlineLevel="0" collapsed="false">
      <c r="A20" s="2" t="s">
        <v>932</v>
      </c>
      <c r="B20" s="2" t="s">
        <v>933</v>
      </c>
      <c r="C20" s="2" t="s">
        <v>934</v>
      </c>
      <c r="D20" s="2" t="s">
        <v>776</v>
      </c>
    </row>
    <row r="21" customFormat="false" ht="15" hidden="false" customHeight="false" outlineLevel="0" collapsed="false">
      <c r="A21" s="2" t="s">
        <v>935</v>
      </c>
      <c r="B21" s="2" t="s">
        <v>936</v>
      </c>
      <c r="C21" s="2" t="s">
        <v>937</v>
      </c>
      <c r="D21" s="2" t="s">
        <v>938</v>
      </c>
    </row>
    <row r="22" customFormat="false" ht="15" hidden="false" customHeight="false" outlineLevel="0" collapsed="false">
      <c r="A22" s="2" t="s">
        <v>939</v>
      </c>
      <c r="B22" s="2" t="s">
        <v>940</v>
      </c>
      <c r="C22" s="2" t="s">
        <v>941</v>
      </c>
      <c r="D22" s="2" t="s">
        <v>375</v>
      </c>
    </row>
    <row r="23" customFormat="false" ht="15" hidden="false" customHeight="false" outlineLevel="0" collapsed="false">
      <c r="A23" s="2" t="s">
        <v>942</v>
      </c>
      <c r="B23" s="2" t="s">
        <v>943</v>
      </c>
      <c r="C23" s="2" t="s">
        <v>944</v>
      </c>
      <c r="D23" s="2" t="s">
        <v>395</v>
      </c>
    </row>
    <row r="24" customFormat="false" ht="15" hidden="false" customHeight="false" outlineLevel="0" collapsed="false">
      <c r="A24" s="2" t="s">
        <v>945</v>
      </c>
      <c r="B24" s="2" t="s">
        <v>946</v>
      </c>
      <c r="C24" s="2" t="s">
        <v>947</v>
      </c>
      <c r="D24" s="2" t="s">
        <v>408</v>
      </c>
    </row>
    <row r="25" customFormat="false" ht="15" hidden="false" customHeight="false" outlineLevel="0" collapsed="false">
      <c r="A25" s="2" t="s">
        <v>948</v>
      </c>
      <c r="B25" s="2" t="s">
        <v>949</v>
      </c>
      <c r="C25" s="2" t="s">
        <v>950</v>
      </c>
      <c r="D25" s="2" t="s">
        <v>315</v>
      </c>
    </row>
    <row r="26" customFormat="false" ht="15" hidden="false" customHeight="false" outlineLevel="0" collapsed="false">
      <c r="A26" s="2" t="s">
        <v>951</v>
      </c>
      <c r="B26" s="2" t="s">
        <v>952</v>
      </c>
      <c r="C26" s="2" t="s">
        <v>953</v>
      </c>
      <c r="D26" s="2" t="s">
        <v>954</v>
      </c>
    </row>
    <row r="27" customFormat="false" ht="15" hidden="false" customHeight="false" outlineLevel="0" collapsed="false">
      <c r="A27" s="2" t="s">
        <v>955</v>
      </c>
      <c r="B27" s="2" t="s">
        <v>956</v>
      </c>
      <c r="C27" s="2" t="s">
        <v>957</v>
      </c>
      <c r="D27" s="2" t="s">
        <v>954</v>
      </c>
    </row>
    <row r="28" customFormat="false" ht="15" hidden="false" customHeight="false" outlineLevel="0" collapsed="false">
      <c r="A28" s="2" t="s">
        <v>958</v>
      </c>
      <c r="B28" s="2" t="s">
        <v>959</v>
      </c>
      <c r="C28" s="2" t="s">
        <v>960</v>
      </c>
      <c r="D28" s="2" t="s">
        <v>954</v>
      </c>
    </row>
    <row r="29" customFormat="false" ht="15" hidden="false" customHeight="false" outlineLevel="0" collapsed="false">
      <c r="A29" s="2" t="s">
        <v>961</v>
      </c>
      <c r="B29" s="2" t="s">
        <v>962</v>
      </c>
      <c r="C29" s="2" t="s">
        <v>963</v>
      </c>
      <c r="D29" s="2" t="s">
        <v>954</v>
      </c>
    </row>
    <row r="30" customFormat="false" ht="15" hidden="false" customHeight="false" outlineLevel="0" collapsed="false">
      <c r="A30" s="2" t="s">
        <v>964</v>
      </c>
      <c r="B30" s="2" t="s">
        <v>965</v>
      </c>
      <c r="C30" s="2" t="s">
        <v>966</v>
      </c>
      <c r="D30" s="2" t="s">
        <v>954</v>
      </c>
    </row>
    <row r="31" customFormat="false" ht="15" hidden="false" customHeight="false" outlineLevel="0" collapsed="false">
      <c r="A31" s="2" t="s">
        <v>967</v>
      </c>
      <c r="B31" s="2" t="s">
        <v>968</v>
      </c>
      <c r="C31" s="2" t="s">
        <v>969</v>
      </c>
      <c r="D31" s="2" t="s">
        <v>970</v>
      </c>
    </row>
    <row r="32" customFormat="false" ht="15" hidden="false" customHeight="false" outlineLevel="0" collapsed="false">
      <c r="A32" s="2" t="s">
        <v>971</v>
      </c>
      <c r="B32" s="2" t="s">
        <v>972</v>
      </c>
      <c r="C32" s="2" t="s">
        <v>973</v>
      </c>
      <c r="D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2026-10-25T17:02:58Z</dcterms:created>
  <dc:creator>openpyxl</dc:creator>
  <dc:description/>
  <dc:language>en-US</dc:language>
  <cp:lastModifiedBy/>
  <dcterms:modified xsi:type="dcterms:W3CDTF">2026-10-25T17:02:58Z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